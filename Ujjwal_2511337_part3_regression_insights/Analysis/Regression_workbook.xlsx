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BITSOM_UJJWAL\New folder\Ujjwal_2511337_part3_regression_insights\Analysis\"/>
    </mc:Choice>
  </mc:AlternateContent>
  <xr:revisionPtr revIDLastSave="0" documentId="13_ncr:1_{C5DE3001-1D2F-4DA7-AF9E-A239172FA147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Raw_data" sheetId="1" r:id="rId1"/>
    <sheet name="Cleaned_data" sheetId="2" r:id="rId2"/>
    <sheet name="Dummy_variables" sheetId="3" r:id="rId3"/>
    <sheet name="Simple_regression" sheetId="4" r:id="rId4"/>
    <sheet name="Multiple_regression" sheetId="5" r:id="rId5"/>
    <sheet name="Prediction-residuals" sheetId="6" r:id="rId6"/>
    <sheet name="Model_comparison" sheetId="7" r:id="rId7"/>
  </sheets>
  <definedNames>
    <definedName name="_xlnm._FilterDatabase" localSheetId="1" hidden="1">Cleaned_data!$A$1:$N$321</definedName>
    <definedName name="_xlnm._FilterDatabase" localSheetId="0" hidden="1">Raw_data!$A$1:$N$321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90" i="6" l="1"/>
  <c r="W290" i="6" s="1"/>
  <c r="V26" i="6"/>
  <c r="W26" i="6" s="1"/>
  <c r="V152" i="6"/>
  <c r="W152" i="6" s="1"/>
  <c r="V105" i="6"/>
  <c r="W105" i="6" s="1"/>
  <c r="U138" i="6"/>
  <c r="V138" i="6" s="1"/>
  <c r="W138" i="6" s="1"/>
  <c r="U312" i="6"/>
  <c r="V312" i="6" s="1"/>
  <c r="W312" i="6" s="1"/>
  <c r="U41" i="6"/>
  <c r="V41" i="6" s="1"/>
  <c r="W41" i="6" s="1"/>
  <c r="T174" i="6"/>
  <c r="S174" i="6"/>
  <c r="R174" i="6"/>
  <c r="Q174" i="6"/>
  <c r="P174" i="6"/>
  <c r="O174" i="6"/>
  <c r="U174" i="6" s="1"/>
  <c r="V174" i="6" s="1"/>
  <c r="W174" i="6" s="1"/>
  <c r="T164" i="6"/>
  <c r="S164" i="6"/>
  <c r="R164" i="6"/>
  <c r="Q164" i="6"/>
  <c r="P164" i="6"/>
  <c r="O164" i="6"/>
  <c r="T210" i="6"/>
  <c r="S210" i="6"/>
  <c r="R210" i="6"/>
  <c r="Q210" i="6"/>
  <c r="P210" i="6"/>
  <c r="O210" i="6"/>
  <c r="U210" i="6" s="1"/>
  <c r="V210" i="6" s="1"/>
  <c r="W210" i="6" s="1"/>
  <c r="T20" i="6"/>
  <c r="S20" i="6"/>
  <c r="R20" i="6"/>
  <c r="Q20" i="6"/>
  <c r="P20" i="6"/>
  <c r="O20" i="6"/>
  <c r="T286" i="6"/>
  <c r="S286" i="6"/>
  <c r="R286" i="6"/>
  <c r="Q286" i="6"/>
  <c r="P286" i="6"/>
  <c r="O286" i="6"/>
  <c r="U286" i="6" s="1"/>
  <c r="V286" i="6" s="1"/>
  <c r="W286" i="6" s="1"/>
  <c r="T240" i="6"/>
  <c r="S240" i="6"/>
  <c r="R240" i="6"/>
  <c r="Q240" i="6"/>
  <c r="P240" i="6"/>
  <c r="O240" i="6"/>
  <c r="T105" i="6"/>
  <c r="S105" i="6"/>
  <c r="R105" i="6"/>
  <c r="Q105" i="6"/>
  <c r="P105" i="6"/>
  <c r="O105" i="6"/>
  <c r="U105" i="6" s="1"/>
  <c r="T243" i="6"/>
  <c r="S243" i="6"/>
  <c r="R243" i="6"/>
  <c r="Q243" i="6"/>
  <c r="P243" i="6"/>
  <c r="O243" i="6"/>
  <c r="T152" i="6"/>
  <c r="S152" i="6"/>
  <c r="R152" i="6"/>
  <c r="Q152" i="6"/>
  <c r="P152" i="6"/>
  <c r="O152" i="6"/>
  <c r="U152" i="6" s="1"/>
  <c r="T193" i="6"/>
  <c r="S193" i="6"/>
  <c r="R193" i="6"/>
  <c r="Q193" i="6"/>
  <c r="P193" i="6"/>
  <c r="O193" i="6"/>
  <c r="T23" i="6"/>
  <c r="S23" i="6"/>
  <c r="R23" i="6"/>
  <c r="Q23" i="6"/>
  <c r="P23" i="6"/>
  <c r="O23" i="6"/>
  <c r="U23" i="6" s="1"/>
  <c r="V23" i="6" s="1"/>
  <c r="W23" i="6" s="1"/>
  <c r="T113" i="6"/>
  <c r="S113" i="6"/>
  <c r="R113" i="6"/>
  <c r="Q113" i="6"/>
  <c r="P113" i="6"/>
  <c r="O113" i="6"/>
  <c r="T41" i="6"/>
  <c r="S41" i="6"/>
  <c r="R41" i="6"/>
  <c r="Q41" i="6"/>
  <c r="P41" i="6"/>
  <c r="O41" i="6"/>
  <c r="T266" i="6"/>
  <c r="S266" i="6"/>
  <c r="R266" i="6"/>
  <c r="Q266" i="6"/>
  <c r="P266" i="6"/>
  <c r="O266" i="6"/>
  <c r="T26" i="6"/>
  <c r="S26" i="6"/>
  <c r="R26" i="6"/>
  <c r="Q26" i="6"/>
  <c r="P26" i="6"/>
  <c r="O26" i="6"/>
  <c r="U26" i="6" s="1"/>
  <c r="T282" i="6"/>
  <c r="S282" i="6"/>
  <c r="R282" i="6"/>
  <c r="Q282" i="6"/>
  <c r="U282" i="6" s="1"/>
  <c r="V282" i="6" s="1"/>
  <c r="W282" i="6" s="1"/>
  <c r="P282" i="6"/>
  <c r="O282" i="6"/>
  <c r="T290" i="6"/>
  <c r="S290" i="6"/>
  <c r="R290" i="6"/>
  <c r="Q290" i="6"/>
  <c r="P290" i="6"/>
  <c r="O290" i="6"/>
  <c r="U290" i="6" s="1"/>
  <c r="T71" i="6"/>
  <c r="S71" i="6"/>
  <c r="R71" i="6"/>
  <c r="Q71" i="6"/>
  <c r="P71" i="6"/>
  <c r="O71" i="6"/>
  <c r="T120" i="6"/>
  <c r="S120" i="6"/>
  <c r="R120" i="6"/>
  <c r="Q120" i="6"/>
  <c r="P120" i="6"/>
  <c r="O120" i="6"/>
  <c r="U120" i="6" s="1"/>
  <c r="V120" i="6" s="1"/>
  <c r="W120" i="6" s="1"/>
  <c r="T42" i="6"/>
  <c r="S42" i="6"/>
  <c r="R42" i="6"/>
  <c r="Q42" i="6"/>
  <c r="P42" i="6"/>
  <c r="O42" i="6"/>
  <c r="T62" i="6"/>
  <c r="S62" i="6"/>
  <c r="R62" i="6"/>
  <c r="Q62" i="6"/>
  <c r="P62" i="6"/>
  <c r="O62" i="6"/>
  <c r="U62" i="6" s="1"/>
  <c r="V62" i="6" s="1"/>
  <c r="W62" i="6" s="1"/>
  <c r="T98" i="6"/>
  <c r="S98" i="6"/>
  <c r="R98" i="6"/>
  <c r="Q98" i="6"/>
  <c r="P98" i="6"/>
  <c r="O98" i="6"/>
  <c r="T312" i="6"/>
  <c r="S312" i="6"/>
  <c r="R312" i="6"/>
  <c r="Q312" i="6"/>
  <c r="P312" i="6"/>
  <c r="O312" i="6"/>
  <c r="T191" i="6"/>
  <c r="S191" i="6"/>
  <c r="R191" i="6"/>
  <c r="Q191" i="6"/>
  <c r="P191" i="6"/>
  <c r="O191" i="6"/>
  <c r="T138" i="6"/>
  <c r="S138" i="6"/>
  <c r="R138" i="6"/>
  <c r="Q138" i="6"/>
  <c r="P138" i="6"/>
  <c r="O138" i="6"/>
  <c r="T137" i="6"/>
  <c r="S137" i="6"/>
  <c r="R137" i="6"/>
  <c r="Q137" i="6"/>
  <c r="P137" i="6"/>
  <c r="O137" i="6"/>
  <c r="T116" i="6"/>
  <c r="S116" i="6"/>
  <c r="R116" i="6"/>
  <c r="Q116" i="6"/>
  <c r="P116" i="6"/>
  <c r="O116" i="6"/>
  <c r="U116" i="6" s="1"/>
  <c r="V116" i="6" s="1"/>
  <c r="W116" i="6" s="1"/>
  <c r="T60" i="6"/>
  <c r="S60" i="6"/>
  <c r="R60" i="6"/>
  <c r="Q60" i="6"/>
  <c r="P60" i="6"/>
  <c r="O60" i="6"/>
  <c r="T218" i="6"/>
  <c r="S218" i="6"/>
  <c r="R218" i="6"/>
  <c r="Q218" i="6"/>
  <c r="P218" i="6"/>
  <c r="O218" i="6"/>
  <c r="U218" i="6" s="1"/>
  <c r="V218" i="6" s="1"/>
  <c r="W218" i="6" s="1"/>
  <c r="T319" i="6"/>
  <c r="S319" i="6"/>
  <c r="R319" i="6"/>
  <c r="Q319" i="6"/>
  <c r="P319" i="6"/>
  <c r="O319" i="6"/>
  <c r="T73" i="6"/>
  <c r="S73" i="6"/>
  <c r="R73" i="6"/>
  <c r="Q73" i="6"/>
  <c r="P73" i="6"/>
  <c r="O73" i="6"/>
  <c r="U73" i="6" s="1"/>
  <c r="V73" i="6" s="1"/>
  <c r="W73" i="6" s="1"/>
  <c r="T279" i="6"/>
  <c r="S279" i="6"/>
  <c r="R279" i="6"/>
  <c r="Q279" i="6"/>
  <c r="P279" i="6"/>
  <c r="O279" i="6"/>
  <c r="T80" i="6"/>
  <c r="S80" i="6"/>
  <c r="R80" i="6"/>
  <c r="Q80" i="6"/>
  <c r="P80" i="6"/>
  <c r="O80" i="6"/>
  <c r="U80" i="6" s="1"/>
  <c r="V80" i="6" s="1"/>
  <c r="W80" i="6" s="1"/>
  <c r="T101" i="6"/>
  <c r="S101" i="6"/>
  <c r="R101" i="6"/>
  <c r="Q101" i="6"/>
  <c r="P101" i="6"/>
  <c r="O101" i="6"/>
  <c r="T139" i="6"/>
  <c r="S139" i="6"/>
  <c r="R139" i="6"/>
  <c r="Q139" i="6"/>
  <c r="P139" i="6"/>
  <c r="O139" i="6"/>
  <c r="U139" i="6" s="1"/>
  <c r="V139" i="6" s="1"/>
  <c r="W139" i="6" s="1"/>
  <c r="T56" i="6"/>
  <c r="S56" i="6"/>
  <c r="R56" i="6"/>
  <c r="Q56" i="6"/>
  <c r="P56" i="6"/>
  <c r="O56" i="6"/>
  <c r="T156" i="6"/>
  <c r="S156" i="6"/>
  <c r="R156" i="6"/>
  <c r="Q156" i="6"/>
  <c r="P156" i="6"/>
  <c r="O156" i="6"/>
  <c r="U156" i="6" s="1"/>
  <c r="V156" i="6" s="1"/>
  <c r="W156" i="6" s="1"/>
  <c r="T183" i="6"/>
  <c r="S183" i="6"/>
  <c r="R183" i="6"/>
  <c r="Q183" i="6"/>
  <c r="P183" i="6"/>
  <c r="O183" i="6"/>
  <c r="T35" i="6"/>
  <c r="S35" i="6"/>
  <c r="R35" i="6"/>
  <c r="Q35" i="6"/>
  <c r="P35" i="6"/>
  <c r="O35" i="6"/>
  <c r="U35" i="6" s="1"/>
  <c r="V35" i="6" s="1"/>
  <c r="W35" i="6" s="1"/>
  <c r="T14" i="6"/>
  <c r="S14" i="6"/>
  <c r="R14" i="6"/>
  <c r="Q14" i="6"/>
  <c r="P14" i="6"/>
  <c r="O14" i="6"/>
  <c r="T106" i="6"/>
  <c r="S106" i="6"/>
  <c r="R106" i="6"/>
  <c r="Q106" i="6"/>
  <c r="P106" i="6"/>
  <c r="O106" i="6"/>
  <c r="U106" i="6" s="1"/>
  <c r="V106" i="6" s="1"/>
  <c r="W106" i="6" s="1"/>
  <c r="T211" i="6"/>
  <c r="S211" i="6"/>
  <c r="R211" i="6"/>
  <c r="Q211" i="6"/>
  <c r="P211" i="6"/>
  <c r="O211" i="6"/>
  <c r="T263" i="6"/>
  <c r="S263" i="6"/>
  <c r="R263" i="6"/>
  <c r="Q263" i="6"/>
  <c r="P263" i="6"/>
  <c r="O263" i="6"/>
  <c r="U263" i="6" s="1"/>
  <c r="V263" i="6" s="1"/>
  <c r="W263" i="6" s="1"/>
  <c r="T107" i="6"/>
  <c r="S107" i="6"/>
  <c r="R107" i="6"/>
  <c r="Q107" i="6"/>
  <c r="P107" i="6"/>
  <c r="O107" i="6"/>
  <c r="T314" i="6"/>
  <c r="S314" i="6"/>
  <c r="R314" i="6"/>
  <c r="Q314" i="6"/>
  <c r="P314" i="6"/>
  <c r="O314" i="6"/>
  <c r="U314" i="6" s="1"/>
  <c r="V314" i="6" s="1"/>
  <c r="W314" i="6" s="1"/>
  <c r="T77" i="6"/>
  <c r="S77" i="6"/>
  <c r="R77" i="6"/>
  <c r="Q77" i="6"/>
  <c r="U77" i="6" s="1"/>
  <c r="V77" i="6" s="1"/>
  <c r="W77" i="6" s="1"/>
  <c r="P77" i="6"/>
  <c r="O77" i="6"/>
  <c r="T207" i="6"/>
  <c r="S207" i="6"/>
  <c r="R207" i="6"/>
  <c r="Q207" i="6"/>
  <c r="P207" i="6"/>
  <c r="O207" i="6"/>
  <c r="U207" i="6" s="1"/>
  <c r="V207" i="6" s="1"/>
  <c r="W207" i="6" s="1"/>
  <c r="T172" i="6"/>
  <c r="S172" i="6"/>
  <c r="R172" i="6"/>
  <c r="Q172" i="6"/>
  <c r="P172" i="6"/>
  <c r="O172" i="6"/>
  <c r="T12" i="6"/>
  <c r="S12" i="6"/>
  <c r="R12" i="6"/>
  <c r="Q12" i="6"/>
  <c r="P12" i="6"/>
  <c r="O12" i="6"/>
  <c r="U12" i="6" s="1"/>
  <c r="V12" i="6" s="1"/>
  <c r="W12" i="6" s="1"/>
  <c r="T117" i="6"/>
  <c r="S117" i="6"/>
  <c r="R117" i="6"/>
  <c r="Q117" i="6"/>
  <c r="P117" i="6"/>
  <c r="O117" i="6"/>
  <c r="T264" i="6"/>
  <c r="S264" i="6"/>
  <c r="R264" i="6"/>
  <c r="Q264" i="6"/>
  <c r="P264" i="6"/>
  <c r="O264" i="6"/>
  <c r="U264" i="6" s="1"/>
  <c r="V264" i="6" s="1"/>
  <c r="W264" i="6" s="1"/>
  <c r="T7" i="6"/>
  <c r="S7" i="6"/>
  <c r="R7" i="6"/>
  <c r="Q7" i="6"/>
  <c r="P7" i="6"/>
  <c r="O7" i="6"/>
  <c r="T273" i="6"/>
  <c r="S273" i="6"/>
  <c r="R273" i="6"/>
  <c r="Q273" i="6"/>
  <c r="P273" i="6"/>
  <c r="O273" i="6"/>
  <c r="U273" i="6" s="1"/>
  <c r="V273" i="6" s="1"/>
  <c r="W273" i="6" s="1"/>
  <c r="T228" i="6"/>
  <c r="S228" i="6"/>
  <c r="R228" i="6"/>
  <c r="Q228" i="6"/>
  <c r="P228" i="6"/>
  <c r="O228" i="6"/>
  <c r="T246" i="6"/>
  <c r="S246" i="6"/>
  <c r="R246" i="6"/>
  <c r="Q246" i="6"/>
  <c r="P246" i="6"/>
  <c r="O246" i="6"/>
  <c r="U246" i="6" s="1"/>
  <c r="V246" i="6" s="1"/>
  <c r="W246" i="6" s="1"/>
  <c r="T134" i="6"/>
  <c r="S134" i="6"/>
  <c r="R134" i="6"/>
  <c r="Q134" i="6"/>
  <c r="P134" i="6"/>
  <c r="O134" i="6"/>
  <c r="T276" i="6"/>
  <c r="S276" i="6"/>
  <c r="R276" i="6"/>
  <c r="Q276" i="6"/>
  <c r="P276" i="6"/>
  <c r="O276" i="6"/>
  <c r="U276" i="6" s="1"/>
  <c r="V276" i="6" s="1"/>
  <c r="W276" i="6" s="1"/>
  <c r="T303" i="6"/>
  <c r="S303" i="6"/>
  <c r="R303" i="6"/>
  <c r="Q303" i="6"/>
  <c r="P303" i="6"/>
  <c r="O303" i="6"/>
  <c r="T123" i="6"/>
  <c r="S123" i="6"/>
  <c r="R123" i="6"/>
  <c r="Q123" i="6"/>
  <c r="P123" i="6"/>
  <c r="O123" i="6"/>
  <c r="U123" i="6" s="1"/>
  <c r="V123" i="6" s="1"/>
  <c r="W123" i="6" s="1"/>
  <c r="T184" i="6"/>
  <c r="S184" i="6"/>
  <c r="R184" i="6"/>
  <c r="Q184" i="6"/>
  <c r="U184" i="6" s="1"/>
  <c r="V184" i="6" s="1"/>
  <c r="W184" i="6" s="1"/>
  <c r="P184" i="6"/>
  <c r="O184" i="6"/>
  <c r="T237" i="6"/>
  <c r="S237" i="6"/>
  <c r="R237" i="6"/>
  <c r="Q237" i="6"/>
  <c r="P237" i="6"/>
  <c r="O237" i="6"/>
  <c r="U237" i="6" s="1"/>
  <c r="V237" i="6" s="1"/>
  <c r="W237" i="6" s="1"/>
  <c r="T127" i="6"/>
  <c r="S127" i="6"/>
  <c r="R127" i="6"/>
  <c r="Q127" i="6"/>
  <c r="P127" i="6"/>
  <c r="O127" i="6"/>
  <c r="T153" i="6"/>
  <c r="S153" i="6"/>
  <c r="R153" i="6"/>
  <c r="Q153" i="6"/>
  <c r="P153" i="6"/>
  <c r="O153" i="6"/>
  <c r="U153" i="6" s="1"/>
  <c r="V153" i="6" s="1"/>
  <c r="W153" i="6" s="1"/>
  <c r="T281" i="6"/>
  <c r="S281" i="6"/>
  <c r="R281" i="6"/>
  <c r="Q281" i="6"/>
  <c r="P281" i="6"/>
  <c r="O281" i="6"/>
  <c r="T16" i="6"/>
  <c r="S16" i="6"/>
  <c r="R16" i="6"/>
  <c r="Q16" i="6"/>
  <c r="P16" i="6"/>
  <c r="O16" i="6"/>
  <c r="U16" i="6" s="1"/>
  <c r="V16" i="6" s="1"/>
  <c r="W16" i="6" s="1"/>
  <c r="T202" i="6"/>
  <c r="S202" i="6"/>
  <c r="R202" i="6"/>
  <c r="Q202" i="6"/>
  <c r="P202" i="6"/>
  <c r="O202" i="6"/>
  <c r="T315" i="6"/>
  <c r="S315" i="6"/>
  <c r="R315" i="6"/>
  <c r="Q315" i="6"/>
  <c r="P315" i="6"/>
  <c r="O315" i="6"/>
  <c r="U315" i="6" s="1"/>
  <c r="V315" i="6" s="1"/>
  <c r="W315" i="6" s="1"/>
  <c r="T175" i="6"/>
  <c r="S175" i="6"/>
  <c r="R175" i="6"/>
  <c r="Q175" i="6"/>
  <c r="P175" i="6"/>
  <c r="O175" i="6"/>
  <c r="T217" i="6"/>
  <c r="S217" i="6"/>
  <c r="R217" i="6"/>
  <c r="Q217" i="6"/>
  <c r="P217" i="6"/>
  <c r="O217" i="6"/>
  <c r="U217" i="6" s="1"/>
  <c r="V217" i="6" s="1"/>
  <c r="W217" i="6" s="1"/>
  <c r="T157" i="6"/>
  <c r="S157" i="6"/>
  <c r="R157" i="6"/>
  <c r="Q157" i="6"/>
  <c r="P157" i="6"/>
  <c r="O157" i="6"/>
  <c r="T124" i="6"/>
  <c r="S124" i="6"/>
  <c r="R124" i="6"/>
  <c r="Q124" i="6"/>
  <c r="P124" i="6"/>
  <c r="O124" i="6"/>
  <c r="U124" i="6" s="1"/>
  <c r="V124" i="6" s="1"/>
  <c r="W124" i="6" s="1"/>
  <c r="T223" i="6"/>
  <c r="S223" i="6"/>
  <c r="R223" i="6"/>
  <c r="Q223" i="6"/>
  <c r="P223" i="6"/>
  <c r="O223" i="6"/>
  <c r="T151" i="6"/>
  <c r="S151" i="6"/>
  <c r="R151" i="6"/>
  <c r="Q151" i="6"/>
  <c r="P151" i="6"/>
  <c r="O151" i="6"/>
  <c r="U151" i="6" s="1"/>
  <c r="V151" i="6" s="1"/>
  <c r="W151" i="6" s="1"/>
  <c r="T53" i="6"/>
  <c r="S53" i="6"/>
  <c r="R53" i="6"/>
  <c r="Q53" i="6"/>
  <c r="P53" i="6"/>
  <c r="O53" i="6"/>
  <c r="T189" i="6"/>
  <c r="S189" i="6"/>
  <c r="R189" i="6"/>
  <c r="Q189" i="6"/>
  <c r="P189" i="6"/>
  <c r="O189" i="6"/>
  <c r="U189" i="6" s="1"/>
  <c r="V189" i="6" s="1"/>
  <c r="W189" i="6" s="1"/>
  <c r="T225" i="6"/>
  <c r="S225" i="6"/>
  <c r="R225" i="6"/>
  <c r="Q225" i="6"/>
  <c r="P225" i="6"/>
  <c r="O225" i="6"/>
  <c r="T92" i="6"/>
  <c r="S92" i="6"/>
  <c r="R92" i="6"/>
  <c r="Q92" i="6"/>
  <c r="P92" i="6"/>
  <c r="O92" i="6"/>
  <c r="U92" i="6" s="1"/>
  <c r="V92" i="6" s="1"/>
  <c r="W92" i="6" s="1"/>
  <c r="T110" i="6"/>
  <c r="S110" i="6"/>
  <c r="R110" i="6"/>
  <c r="Q110" i="6"/>
  <c r="P110" i="6"/>
  <c r="O110" i="6"/>
  <c r="T206" i="6"/>
  <c r="S206" i="6"/>
  <c r="R206" i="6"/>
  <c r="Q206" i="6"/>
  <c r="P206" i="6"/>
  <c r="O206" i="6"/>
  <c r="U206" i="6" s="1"/>
  <c r="V206" i="6" s="1"/>
  <c r="W206" i="6" s="1"/>
  <c r="T229" i="6"/>
  <c r="S229" i="6"/>
  <c r="R229" i="6"/>
  <c r="Q229" i="6"/>
  <c r="P229" i="6"/>
  <c r="O229" i="6"/>
  <c r="T179" i="6"/>
  <c r="S179" i="6"/>
  <c r="R179" i="6"/>
  <c r="Q179" i="6"/>
  <c r="P179" i="6"/>
  <c r="O179" i="6"/>
  <c r="U179" i="6" s="1"/>
  <c r="V179" i="6" s="1"/>
  <c r="W179" i="6" s="1"/>
  <c r="T125" i="6"/>
  <c r="S125" i="6"/>
  <c r="R125" i="6"/>
  <c r="Q125" i="6"/>
  <c r="P125" i="6"/>
  <c r="O125" i="6"/>
  <c r="T208" i="6"/>
  <c r="S208" i="6"/>
  <c r="R208" i="6"/>
  <c r="Q208" i="6"/>
  <c r="P208" i="6"/>
  <c r="O208" i="6"/>
  <c r="U208" i="6" s="1"/>
  <c r="V208" i="6" s="1"/>
  <c r="W208" i="6" s="1"/>
  <c r="T6" i="6"/>
  <c r="S6" i="6"/>
  <c r="R6" i="6"/>
  <c r="Q6" i="6"/>
  <c r="P6" i="6"/>
  <c r="O6" i="6"/>
  <c r="T159" i="6"/>
  <c r="S159" i="6"/>
  <c r="R159" i="6"/>
  <c r="Q159" i="6"/>
  <c r="P159" i="6"/>
  <c r="O159" i="6"/>
  <c r="U159" i="6" s="1"/>
  <c r="V159" i="6" s="1"/>
  <c r="W159" i="6" s="1"/>
  <c r="T142" i="6"/>
  <c r="S142" i="6"/>
  <c r="R142" i="6"/>
  <c r="Q142" i="6"/>
  <c r="U142" i="6" s="1"/>
  <c r="V142" i="6" s="1"/>
  <c r="W142" i="6" s="1"/>
  <c r="P142" i="6"/>
  <c r="O142" i="6"/>
  <c r="T309" i="6"/>
  <c r="S309" i="6"/>
  <c r="R309" i="6"/>
  <c r="Q309" i="6"/>
  <c r="P309" i="6"/>
  <c r="O309" i="6"/>
  <c r="U309" i="6" s="1"/>
  <c r="V309" i="6" s="1"/>
  <c r="W309" i="6" s="1"/>
  <c r="T253" i="6"/>
  <c r="S253" i="6"/>
  <c r="R253" i="6"/>
  <c r="Q253" i="6"/>
  <c r="P253" i="6"/>
  <c r="O253" i="6"/>
  <c r="T267" i="6"/>
  <c r="S267" i="6"/>
  <c r="R267" i="6"/>
  <c r="Q267" i="6"/>
  <c r="P267" i="6"/>
  <c r="O267" i="6"/>
  <c r="U267" i="6" s="1"/>
  <c r="V267" i="6" s="1"/>
  <c r="W267" i="6" s="1"/>
  <c r="T76" i="6"/>
  <c r="S76" i="6"/>
  <c r="R76" i="6"/>
  <c r="Q76" i="6"/>
  <c r="P76" i="6"/>
  <c r="O76" i="6"/>
  <c r="T321" i="6"/>
  <c r="S321" i="6"/>
  <c r="R321" i="6"/>
  <c r="Q321" i="6"/>
  <c r="P321" i="6"/>
  <c r="O321" i="6"/>
  <c r="U321" i="6" s="1"/>
  <c r="V321" i="6" s="1"/>
  <c r="W321" i="6" s="1"/>
  <c r="T36" i="6"/>
  <c r="S36" i="6"/>
  <c r="R36" i="6"/>
  <c r="Q36" i="6"/>
  <c r="P36" i="6"/>
  <c r="O36" i="6"/>
  <c r="T259" i="6"/>
  <c r="S259" i="6"/>
  <c r="R259" i="6"/>
  <c r="Q259" i="6"/>
  <c r="P259" i="6"/>
  <c r="O259" i="6"/>
  <c r="U259" i="6" s="1"/>
  <c r="V259" i="6" s="1"/>
  <c r="W259" i="6" s="1"/>
  <c r="T214" i="6"/>
  <c r="S214" i="6"/>
  <c r="R214" i="6"/>
  <c r="Q214" i="6"/>
  <c r="P214" i="6"/>
  <c r="O214" i="6"/>
  <c r="T212" i="6"/>
  <c r="S212" i="6"/>
  <c r="R212" i="6"/>
  <c r="Q212" i="6"/>
  <c r="P212" i="6"/>
  <c r="O212" i="6"/>
  <c r="U212" i="6" s="1"/>
  <c r="V212" i="6" s="1"/>
  <c r="W212" i="6" s="1"/>
  <c r="T221" i="6"/>
  <c r="S221" i="6"/>
  <c r="R221" i="6"/>
  <c r="Q221" i="6"/>
  <c r="P221" i="6"/>
  <c r="O221" i="6"/>
  <c r="T94" i="6"/>
  <c r="S94" i="6"/>
  <c r="R94" i="6"/>
  <c r="Q94" i="6"/>
  <c r="P94" i="6"/>
  <c r="O94" i="6"/>
  <c r="U94" i="6" s="1"/>
  <c r="V94" i="6" s="1"/>
  <c r="W94" i="6" s="1"/>
  <c r="T196" i="6"/>
  <c r="S196" i="6"/>
  <c r="R196" i="6"/>
  <c r="Q196" i="6"/>
  <c r="P196" i="6"/>
  <c r="O196" i="6"/>
  <c r="T170" i="6"/>
  <c r="S170" i="6"/>
  <c r="R170" i="6"/>
  <c r="Q170" i="6"/>
  <c r="P170" i="6"/>
  <c r="O170" i="6"/>
  <c r="U170" i="6" s="1"/>
  <c r="V170" i="6" s="1"/>
  <c r="W170" i="6" s="1"/>
  <c r="T200" i="6"/>
  <c r="S200" i="6"/>
  <c r="R200" i="6"/>
  <c r="Q200" i="6"/>
  <c r="P200" i="6"/>
  <c r="O200" i="6"/>
  <c r="T154" i="6"/>
  <c r="S154" i="6"/>
  <c r="R154" i="6"/>
  <c r="Q154" i="6"/>
  <c r="P154" i="6"/>
  <c r="O154" i="6"/>
  <c r="U154" i="6" s="1"/>
  <c r="V154" i="6" s="1"/>
  <c r="W154" i="6" s="1"/>
  <c r="T241" i="6"/>
  <c r="S241" i="6"/>
  <c r="R241" i="6"/>
  <c r="Q241" i="6"/>
  <c r="P241" i="6"/>
  <c r="O241" i="6"/>
  <c r="T150" i="6"/>
  <c r="S150" i="6"/>
  <c r="R150" i="6"/>
  <c r="Q150" i="6"/>
  <c r="P150" i="6"/>
  <c r="O150" i="6"/>
  <c r="U150" i="6" s="1"/>
  <c r="V150" i="6" s="1"/>
  <c r="W150" i="6" s="1"/>
  <c r="T239" i="6"/>
  <c r="S239" i="6"/>
  <c r="R239" i="6"/>
  <c r="Q239" i="6"/>
  <c r="P239" i="6"/>
  <c r="O239" i="6"/>
  <c r="T165" i="6"/>
  <c r="S165" i="6"/>
  <c r="R165" i="6"/>
  <c r="Q165" i="6"/>
  <c r="P165" i="6"/>
  <c r="O165" i="6"/>
  <c r="U165" i="6" s="1"/>
  <c r="V165" i="6" s="1"/>
  <c r="W165" i="6" s="1"/>
  <c r="T104" i="6"/>
  <c r="S104" i="6"/>
  <c r="R104" i="6"/>
  <c r="Q104" i="6"/>
  <c r="P104" i="6"/>
  <c r="O104" i="6"/>
  <c r="T269" i="6"/>
  <c r="S269" i="6"/>
  <c r="R269" i="6"/>
  <c r="Q269" i="6"/>
  <c r="P269" i="6"/>
  <c r="O269" i="6"/>
  <c r="U269" i="6" s="1"/>
  <c r="V269" i="6" s="1"/>
  <c r="W269" i="6" s="1"/>
  <c r="T226" i="6"/>
  <c r="S226" i="6"/>
  <c r="R226" i="6"/>
  <c r="Q226" i="6"/>
  <c r="P226" i="6"/>
  <c r="O226" i="6"/>
  <c r="T245" i="6"/>
  <c r="S245" i="6"/>
  <c r="R245" i="6"/>
  <c r="Q245" i="6"/>
  <c r="P245" i="6"/>
  <c r="O245" i="6"/>
  <c r="U245" i="6" s="1"/>
  <c r="V245" i="6" s="1"/>
  <c r="W245" i="6" s="1"/>
  <c r="T58" i="6"/>
  <c r="S58" i="6"/>
  <c r="R58" i="6"/>
  <c r="Q58" i="6"/>
  <c r="P58" i="6"/>
  <c r="O58" i="6"/>
  <c r="T32" i="6"/>
  <c r="S32" i="6"/>
  <c r="R32" i="6"/>
  <c r="Q32" i="6"/>
  <c r="P32" i="6"/>
  <c r="O32" i="6"/>
  <c r="U32" i="6" s="1"/>
  <c r="V32" i="6" s="1"/>
  <c r="W32" i="6" s="1"/>
  <c r="T163" i="6"/>
  <c r="S163" i="6"/>
  <c r="R163" i="6"/>
  <c r="Q163" i="6"/>
  <c r="P163" i="6"/>
  <c r="O163" i="6"/>
  <c r="T9" i="6"/>
  <c r="S9" i="6"/>
  <c r="R9" i="6"/>
  <c r="Q9" i="6"/>
  <c r="P9" i="6"/>
  <c r="O9" i="6"/>
  <c r="U9" i="6" s="1"/>
  <c r="V9" i="6" s="1"/>
  <c r="W9" i="6" s="1"/>
  <c r="T31" i="6"/>
  <c r="S31" i="6"/>
  <c r="R31" i="6"/>
  <c r="Q31" i="6"/>
  <c r="P31" i="6"/>
  <c r="O31" i="6"/>
  <c r="T285" i="6"/>
  <c r="S285" i="6"/>
  <c r="R285" i="6"/>
  <c r="Q285" i="6"/>
  <c r="P285" i="6"/>
  <c r="O285" i="6"/>
  <c r="U285" i="6" s="1"/>
  <c r="V285" i="6" s="1"/>
  <c r="W285" i="6" s="1"/>
  <c r="T61" i="6"/>
  <c r="S61" i="6"/>
  <c r="R61" i="6"/>
  <c r="Q61" i="6"/>
  <c r="P61" i="6"/>
  <c r="O61" i="6"/>
  <c r="T45" i="6"/>
  <c r="S45" i="6"/>
  <c r="R45" i="6"/>
  <c r="Q45" i="6"/>
  <c r="P45" i="6"/>
  <c r="O45" i="6"/>
  <c r="U45" i="6" s="1"/>
  <c r="V45" i="6" s="1"/>
  <c r="W45" i="6" s="1"/>
  <c r="T25" i="6"/>
  <c r="S25" i="6"/>
  <c r="R25" i="6"/>
  <c r="Q25" i="6"/>
  <c r="P25" i="6"/>
  <c r="O25" i="6"/>
  <c r="T318" i="6"/>
  <c r="S318" i="6"/>
  <c r="R318" i="6"/>
  <c r="Q318" i="6"/>
  <c r="P318" i="6"/>
  <c r="O318" i="6"/>
  <c r="U318" i="6" s="1"/>
  <c r="V318" i="6" s="1"/>
  <c r="W318" i="6" s="1"/>
  <c r="T38" i="6"/>
  <c r="S38" i="6"/>
  <c r="R38" i="6"/>
  <c r="Q38" i="6"/>
  <c r="P38" i="6"/>
  <c r="O38" i="6"/>
  <c r="T313" i="6"/>
  <c r="S313" i="6"/>
  <c r="R313" i="6"/>
  <c r="Q313" i="6"/>
  <c r="P313" i="6"/>
  <c r="O313" i="6"/>
  <c r="U313" i="6" s="1"/>
  <c r="V313" i="6" s="1"/>
  <c r="W313" i="6" s="1"/>
  <c r="T59" i="6"/>
  <c r="S59" i="6"/>
  <c r="R59" i="6"/>
  <c r="Q59" i="6"/>
  <c r="P59" i="6"/>
  <c r="O59" i="6"/>
  <c r="T144" i="6"/>
  <c r="S144" i="6"/>
  <c r="R144" i="6"/>
  <c r="Q144" i="6"/>
  <c r="P144" i="6"/>
  <c r="O144" i="6"/>
  <c r="U144" i="6" s="1"/>
  <c r="V144" i="6" s="1"/>
  <c r="W144" i="6" s="1"/>
  <c r="T300" i="6"/>
  <c r="S300" i="6"/>
  <c r="R300" i="6"/>
  <c r="Q300" i="6"/>
  <c r="P300" i="6"/>
  <c r="O300" i="6"/>
  <c r="T64" i="6"/>
  <c r="S64" i="6"/>
  <c r="R64" i="6"/>
  <c r="Q64" i="6"/>
  <c r="P64" i="6"/>
  <c r="O64" i="6"/>
  <c r="U64" i="6" s="1"/>
  <c r="V64" i="6" s="1"/>
  <c r="W64" i="6" s="1"/>
  <c r="T145" i="6"/>
  <c r="S145" i="6"/>
  <c r="R145" i="6"/>
  <c r="Q145" i="6"/>
  <c r="P145" i="6"/>
  <c r="O145" i="6"/>
  <c r="T166" i="6"/>
  <c r="S166" i="6"/>
  <c r="R166" i="6"/>
  <c r="Q166" i="6"/>
  <c r="P166" i="6"/>
  <c r="O166" i="6"/>
  <c r="U166" i="6" s="1"/>
  <c r="V166" i="6" s="1"/>
  <c r="W166" i="6" s="1"/>
  <c r="T50" i="6"/>
  <c r="S50" i="6"/>
  <c r="R50" i="6"/>
  <c r="Q50" i="6"/>
  <c r="P50" i="6"/>
  <c r="O50" i="6"/>
  <c r="T21" i="6"/>
  <c r="S21" i="6"/>
  <c r="R21" i="6"/>
  <c r="Q21" i="6"/>
  <c r="P21" i="6"/>
  <c r="O21" i="6"/>
  <c r="U21" i="6" s="1"/>
  <c r="V21" i="6" s="1"/>
  <c r="W21" i="6" s="1"/>
  <c r="T136" i="6"/>
  <c r="S136" i="6"/>
  <c r="R136" i="6"/>
  <c r="Q136" i="6"/>
  <c r="P136" i="6"/>
  <c r="O136" i="6"/>
  <c r="T185" i="6"/>
  <c r="S185" i="6"/>
  <c r="R185" i="6"/>
  <c r="Q185" i="6"/>
  <c r="P185" i="6"/>
  <c r="O185" i="6"/>
  <c r="U185" i="6" s="1"/>
  <c r="V185" i="6" s="1"/>
  <c r="W185" i="6" s="1"/>
  <c r="T295" i="6"/>
  <c r="S295" i="6"/>
  <c r="R295" i="6"/>
  <c r="Q295" i="6"/>
  <c r="P295" i="6"/>
  <c r="O295" i="6"/>
  <c r="T257" i="6"/>
  <c r="S257" i="6"/>
  <c r="R257" i="6"/>
  <c r="Q257" i="6"/>
  <c r="P257" i="6"/>
  <c r="O257" i="6"/>
  <c r="U257" i="6" s="1"/>
  <c r="V257" i="6" s="1"/>
  <c r="W257" i="6" s="1"/>
  <c r="T272" i="6"/>
  <c r="S272" i="6"/>
  <c r="R272" i="6"/>
  <c r="Q272" i="6"/>
  <c r="P272" i="6"/>
  <c r="O272" i="6"/>
  <c r="T248" i="6"/>
  <c r="S248" i="6"/>
  <c r="R248" i="6"/>
  <c r="Q248" i="6"/>
  <c r="P248" i="6"/>
  <c r="O248" i="6"/>
  <c r="U248" i="6" s="1"/>
  <c r="V248" i="6" s="1"/>
  <c r="W248" i="6" s="1"/>
  <c r="T95" i="6"/>
  <c r="S95" i="6"/>
  <c r="R95" i="6"/>
  <c r="Q95" i="6"/>
  <c r="P95" i="6"/>
  <c r="O95" i="6"/>
  <c r="T180" i="6"/>
  <c r="S180" i="6"/>
  <c r="R180" i="6"/>
  <c r="Q180" i="6"/>
  <c r="P180" i="6"/>
  <c r="O180" i="6"/>
  <c r="U180" i="6" s="1"/>
  <c r="V180" i="6" s="1"/>
  <c r="W180" i="6" s="1"/>
  <c r="T84" i="6"/>
  <c r="S84" i="6"/>
  <c r="R84" i="6"/>
  <c r="Q84" i="6"/>
  <c r="P84" i="6"/>
  <c r="O84" i="6"/>
  <c r="T268" i="6"/>
  <c r="S268" i="6"/>
  <c r="R268" i="6"/>
  <c r="Q268" i="6"/>
  <c r="P268" i="6"/>
  <c r="O268" i="6"/>
  <c r="U268" i="6" s="1"/>
  <c r="V268" i="6" s="1"/>
  <c r="W268" i="6" s="1"/>
  <c r="T149" i="6"/>
  <c r="S149" i="6"/>
  <c r="R149" i="6"/>
  <c r="Q149" i="6"/>
  <c r="P149" i="6"/>
  <c r="O149" i="6"/>
  <c r="T299" i="6"/>
  <c r="S299" i="6"/>
  <c r="R299" i="6"/>
  <c r="Q299" i="6"/>
  <c r="P299" i="6"/>
  <c r="O299" i="6"/>
  <c r="U299" i="6" s="1"/>
  <c r="V299" i="6" s="1"/>
  <c r="W299" i="6" s="1"/>
  <c r="T135" i="6"/>
  <c r="S135" i="6"/>
  <c r="R135" i="6"/>
  <c r="Q135" i="6"/>
  <c r="P135" i="6"/>
  <c r="O135" i="6"/>
  <c r="T291" i="6"/>
  <c r="S291" i="6"/>
  <c r="R291" i="6"/>
  <c r="Q291" i="6"/>
  <c r="P291" i="6"/>
  <c r="O291" i="6"/>
  <c r="U291" i="6" s="1"/>
  <c r="V291" i="6" s="1"/>
  <c r="W291" i="6" s="1"/>
  <c r="T131" i="6"/>
  <c r="S131" i="6"/>
  <c r="R131" i="6"/>
  <c r="Q131" i="6"/>
  <c r="P131" i="6"/>
  <c r="O131" i="6"/>
  <c r="T199" i="6"/>
  <c r="S199" i="6"/>
  <c r="R199" i="6"/>
  <c r="Q199" i="6"/>
  <c r="P199" i="6"/>
  <c r="O199" i="6"/>
  <c r="U199" i="6" s="1"/>
  <c r="V199" i="6" s="1"/>
  <c r="W199" i="6" s="1"/>
  <c r="T249" i="6"/>
  <c r="S249" i="6"/>
  <c r="R249" i="6"/>
  <c r="Q249" i="6"/>
  <c r="P249" i="6"/>
  <c r="O249" i="6"/>
  <c r="T132" i="6"/>
  <c r="S132" i="6"/>
  <c r="R132" i="6"/>
  <c r="Q132" i="6"/>
  <c r="P132" i="6"/>
  <c r="O132" i="6"/>
  <c r="U132" i="6" s="1"/>
  <c r="V132" i="6" s="1"/>
  <c r="W132" i="6" s="1"/>
  <c r="T288" i="6"/>
  <c r="S288" i="6"/>
  <c r="R288" i="6"/>
  <c r="Q288" i="6"/>
  <c r="P288" i="6"/>
  <c r="O288" i="6"/>
  <c r="T148" i="6"/>
  <c r="S148" i="6"/>
  <c r="R148" i="6"/>
  <c r="Q148" i="6"/>
  <c r="P148" i="6"/>
  <c r="O148" i="6"/>
  <c r="U148" i="6" s="1"/>
  <c r="V148" i="6" s="1"/>
  <c r="W148" i="6" s="1"/>
  <c r="T307" i="6"/>
  <c r="S307" i="6"/>
  <c r="R307" i="6"/>
  <c r="Q307" i="6"/>
  <c r="P307" i="6"/>
  <c r="O307" i="6"/>
  <c r="T30" i="6"/>
  <c r="S30" i="6"/>
  <c r="R30" i="6"/>
  <c r="Q30" i="6"/>
  <c r="P30" i="6"/>
  <c r="O30" i="6"/>
  <c r="U30" i="6" s="1"/>
  <c r="V30" i="6" s="1"/>
  <c r="W30" i="6" s="1"/>
  <c r="T162" i="6"/>
  <c r="S162" i="6"/>
  <c r="R162" i="6"/>
  <c r="Q162" i="6"/>
  <c r="P162" i="6"/>
  <c r="O162" i="6"/>
  <c r="T198" i="6"/>
  <c r="S198" i="6"/>
  <c r="R198" i="6"/>
  <c r="Q198" i="6"/>
  <c r="P198" i="6"/>
  <c r="O198" i="6"/>
  <c r="U198" i="6" s="1"/>
  <c r="V198" i="6" s="1"/>
  <c r="W198" i="6" s="1"/>
  <c r="T118" i="6"/>
  <c r="S118" i="6"/>
  <c r="R118" i="6"/>
  <c r="Q118" i="6"/>
  <c r="P118" i="6"/>
  <c r="O118" i="6"/>
  <c r="T103" i="6"/>
  <c r="S103" i="6"/>
  <c r="R103" i="6"/>
  <c r="Q103" i="6"/>
  <c r="P103" i="6"/>
  <c r="O103" i="6"/>
  <c r="U103" i="6" s="1"/>
  <c r="V103" i="6" s="1"/>
  <c r="W103" i="6" s="1"/>
  <c r="T283" i="6"/>
  <c r="S283" i="6"/>
  <c r="R283" i="6"/>
  <c r="Q283" i="6"/>
  <c r="P283" i="6"/>
  <c r="O283" i="6"/>
  <c r="T51" i="6"/>
  <c r="S51" i="6"/>
  <c r="R51" i="6"/>
  <c r="Q51" i="6"/>
  <c r="P51" i="6"/>
  <c r="O51" i="6"/>
  <c r="U51" i="6" s="1"/>
  <c r="V51" i="6" s="1"/>
  <c r="W51" i="6" s="1"/>
  <c r="T129" i="6"/>
  <c r="S129" i="6"/>
  <c r="R129" i="6"/>
  <c r="Q129" i="6"/>
  <c r="P129" i="6"/>
  <c r="O129" i="6"/>
  <c r="T306" i="6"/>
  <c r="S306" i="6"/>
  <c r="R306" i="6"/>
  <c r="Q306" i="6"/>
  <c r="P306" i="6"/>
  <c r="O306" i="6"/>
  <c r="U306" i="6" s="1"/>
  <c r="V306" i="6" s="1"/>
  <c r="W306" i="6" s="1"/>
  <c r="T37" i="6"/>
  <c r="S37" i="6"/>
  <c r="R37" i="6"/>
  <c r="Q37" i="6"/>
  <c r="P37" i="6"/>
  <c r="O37" i="6"/>
  <c r="T305" i="6"/>
  <c r="S305" i="6"/>
  <c r="R305" i="6"/>
  <c r="Q305" i="6"/>
  <c r="P305" i="6"/>
  <c r="O305" i="6"/>
  <c r="U305" i="6" s="1"/>
  <c r="V305" i="6" s="1"/>
  <c r="W305" i="6" s="1"/>
  <c r="T294" i="6"/>
  <c r="S294" i="6"/>
  <c r="R294" i="6"/>
  <c r="Q294" i="6"/>
  <c r="P294" i="6"/>
  <c r="O294" i="6"/>
  <c r="T143" i="6"/>
  <c r="S143" i="6"/>
  <c r="R143" i="6"/>
  <c r="Q143" i="6"/>
  <c r="P143" i="6"/>
  <c r="O143" i="6"/>
  <c r="U143" i="6" s="1"/>
  <c r="V143" i="6" s="1"/>
  <c r="W143" i="6" s="1"/>
  <c r="T75" i="6"/>
  <c r="S75" i="6"/>
  <c r="R75" i="6"/>
  <c r="Q75" i="6"/>
  <c r="P75" i="6"/>
  <c r="O75" i="6"/>
  <c r="T128" i="6"/>
  <c r="S128" i="6"/>
  <c r="R128" i="6"/>
  <c r="Q128" i="6"/>
  <c r="P128" i="6"/>
  <c r="O128" i="6"/>
  <c r="U128" i="6" s="1"/>
  <c r="V128" i="6" s="1"/>
  <c r="W128" i="6" s="1"/>
  <c r="T63" i="6"/>
  <c r="S63" i="6"/>
  <c r="R63" i="6"/>
  <c r="Q63" i="6"/>
  <c r="P63" i="6"/>
  <c r="O63" i="6"/>
  <c r="T190" i="6"/>
  <c r="S190" i="6"/>
  <c r="R190" i="6"/>
  <c r="Q190" i="6"/>
  <c r="P190" i="6"/>
  <c r="O190" i="6"/>
  <c r="U190" i="6" s="1"/>
  <c r="V190" i="6" s="1"/>
  <c r="W190" i="6" s="1"/>
  <c r="T93" i="6"/>
  <c r="S93" i="6"/>
  <c r="R93" i="6"/>
  <c r="Q93" i="6"/>
  <c r="P93" i="6"/>
  <c r="O93" i="6"/>
  <c r="T195" i="6"/>
  <c r="S195" i="6"/>
  <c r="R195" i="6"/>
  <c r="Q195" i="6"/>
  <c r="P195" i="6"/>
  <c r="O195" i="6"/>
  <c r="U195" i="6" s="1"/>
  <c r="V195" i="6" s="1"/>
  <c r="W195" i="6" s="1"/>
  <c r="T197" i="6"/>
  <c r="S197" i="6"/>
  <c r="R197" i="6"/>
  <c r="Q197" i="6"/>
  <c r="P197" i="6"/>
  <c r="O197" i="6"/>
  <c r="T187" i="6"/>
  <c r="S187" i="6"/>
  <c r="R187" i="6"/>
  <c r="Q187" i="6"/>
  <c r="P187" i="6"/>
  <c r="O187" i="6"/>
  <c r="U187" i="6" s="1"/>
  <c r="V187" i="6" s="1"/>
  <c r="W187" i="6" s="1"/>
  <c r="T181" i="6"/>
  <c r="S181" i="6"/>
  <c r="R181" i="6"/>
  <c r="Q181" i="6"/>
  <c r="P181" i="6"/>
  <c r="O181" i="6"/>
  <c r="T213" i="6"/>
  <c r="S213" i="6"/>
  <c r="R213" i="6"/>
  <c r="Q213" i="6"/>
  <c r="P213" i="6"/>
  <c r="O213" i="6"/>
  <c r="U213" i="6" s="1"/>
  <c r="V213" i="6" s="1"/>
  <c r="W213" i="6" s="1"/>
  <c r="T203" i="6"/>
  <c r="S203" i="6"/>
  <c r="R203" i="6"/>
  <c r="Q203" i="6"/>
  <c r="P203" i="6"/>
  <c r="O203" i="6"/>
  <c r="T168" i="6"/>
  <c r="S168" i="6"/>
  <c r="R168" i="6"/>
  <c r="Q168" i="6"/>
  <c r="P168" i="6"/>
  <c r="O168" i="6"/>
  <c r="U168" i="6" s="1"/>
  <c r="V168" i="6" s="1"/>
  <c r="W168" i="6" s="1"/>
  <c r="T109" i="6"/>
  <c r="S109" i="6"/>
  <c r="R109" i="6"/>
  <c r="Q109" i="6"/>
  <c r="P109" i="6"/>
  <c r="O109" i="6"/>
  <c r="T216" i="6"/>
  <c r="S216" i="6"/>
  <c r="R216" i="6"/>
  <c r="Q216" i="6"/>
  <c r="P216" i="6"/>
  <c r="O216" i="6"/>
  <c r="U216" i="6" s="1"/>
  <c r="V216" i="6" s="1"/>
  <c r="W216" i="6" s="1"/>
  <c r="T220" i="6"/>
  <c r="S220" i="6"/>
  <c r="R220" i="6"/>
  <c r="Q220" i="6"/>
  <c r="P220" i="6"/>
  <c r="O220" i="6"/>
  <c r="T192" i="6"/>
  <c r="S192" i="6"/>
  <c r="R192" i="6"/>
  <c r="Q192" i="6"/>
  <c r="P192" i="6"/>
  <c r="O192" i="6"/>
  <c r="U192" i="6" s="1"/>
  <c r="V192" i="6" s="1"/>
  <c r="W192" i="6" s="1"/>
  <c r="T251" i="6"/>
  <c r="S251" i="6"/>
  <c r="R251" i="6"/>
  <c r="Q251" i="6"/>
  <c r="P251" i="6"/>
  <c r="O251" i="6"/>
  <c r="T262" i="6"/>
  <c r="S262" i="6"/>
  <c r="R262" i="6"/>
  <c r="Q262" i="6"/>
  <c r="P262" i="6"/>
  <c r="O262" i="6"/>
  <c r="U262" i="6" s="1"/>
  <c r="V262" i="6" s="1"/>
  <c r="W262" i="6" s="1"/>
  <c r="T284" i="6"/>
  <c r="S284" i="6"/>
  <c r="R284" i="6"/>
  <c r="Q284" i="6"/>
  <c r="P284" i="6"/>
  <c r="O284" i="6"/>
  <c r="U284" i="6" s="1"/>
  <c r="V284" i="6" s="1"/>
  <c r="W284" i="6" s="1"/>
  <c r="T296" i="6"/>
  <c r="S296" i="6"/>
  <c r="R296" i="6"/>
  <c r="Q296" i="6"/>
  <c r="P296" i="6"/>
  <c r="O296" i="6"/>
  <c r="U296" i="6" s="1"/>
  <c r="V296" i="6" s="1"/>
  <c r="W296" i="6" s="1"/>
  <c r="T11" i="6"/>
  <c r="S11" i="6"/>
  <c r="R11" i="6"/>
  <c r="Q11" i="6"/>
  <c r="P11" i="6"/>
  <c r="O11" i="6"/>
  <c r="T86" i="6"/>
  <c r="S86" i="6"/>
  <c r="R86" i="6"/>
  <c r="Q86" i="6"/>
  <c r="P86" i="6"/>
  <c r="O86" i="6"/>
  <c r="U86" i="6" s="1"/>
  <c r="V86" i="6" s="1"/>
  <c r="W86" i="6" s="1"/>
  <c r="T91" i="6"/>
  <c r="S91" i="6"/>
  <c r="R91" i="6"/>
  <c r="Q91" i="6"/>
  <c r="P91" i="6"/>
  <c r="O91" i="6"/>
  <c r="T18" i="6"/>
  <c r="S18" i="6"/>
  <c r="R18" i="6"/>
  <c r="Q18" i="6"/>
  <c r="P18" i="6"/>
  <c r="O18" i="6"/>
  <c r="U18" i="6" s="1"/>
  <c r="V18" i="6" s="1"/>
  <c r="W18" i="6" s="1"/>
  <c r="T27" i="6"/>
  <c r="S27" i="6"/>
  <c r="R27" i="6"/>
  <c r="Q27" i="6"/>
  <c r="P27" i="6"/>
  <c r="O27" i="6"/>
  <c r="T186" i="6"/>
  <c r="S186" i="6"/>
  <c r="R186" i="6"/>
  <c r="Q186" i="6"/>
  <c r="P186" i="6"/>
  <c r="O186" i="6"/>
  <c r="U186" i="6" s="1"/>
  <c r="V186" i="6" s="1"/>
  <c r="W186" i="6" s="1"/>
  <c r="T17" i="6"/>
  <c r="S17" i="6"/>
  <c r="R17" i="6"/>
  <c r="Q17" i="6"/>
  <c r="P17" i="6"/>
  <c r="O17" i="6"/>
  <c r="T130" i="6"/>
  <c r="S130" i="6"/>
  <c r="R130" i="6"/>
  <c r="Q130" i="6"/>
  <c r="P130" i="6"/>
  <c r="O130" i="6"/>
  <c r="U130" i="6" s="1"/>
  <c r="V130" i="6" s="1"/>
  <c r="W130" i="6" s="1"/>
  <c r="T133" i="6"/>
  <c r="S133" i="6"/>
  <c r="R133" i="6"/>
  <c r="Q133" i="6"/>
  <c r="P133" i="6"/>
  <c r="O133" i="6"/>
  <c r="T100" i="6"/>
  <c r="S100" i="6"/>
  <c r="R100" i="6"/>
  <c r="Q100" i="6"/>
  <c r="P100" i="6"/>
  <c r="O100" i="6"/>
  <c r="U100" i="6" s="1"/>
  <c r="V100" i="6" s="1"/>
  <c r="W100" i="6" s="1"/>
  <c r="T265" i="6"/>
  <c r="S265" i="6"/>
  <c r="R265" i="6"/>
  <c r="Q265" i="6"/>
  <c r="P265" i="6"/>
  <c r="O265" i="6"/>
  <c r="T52" i="6"/>
  <c r="S52" i="6"/>
  <c r="R52" i="6"/>
  <c r="Q52" i="6"/>
  <c r="P52" i="6"/>
  <c r="O52" i="6"/>
  <c r="U52" i="6" s="1"/>
  <c r="V52" i="6" s="1"/>
  <c r="W52" i="6" s="1"/>
  <c r="T293" i="6"/>
  <c r="S293" i="6"/>
  <c r="R293" i="6"/>
  <c r="Q293" i="6"/>
  <c r="P293" i="6"/>
  <c r="O293" i="6"/>
  <c r="T67" i="6"/>
  <c r="S67" i="6"/>
  <c r="R67" i="6"/>
  <c r="Q67" i="6"/>
  <c r="P67" i="6"/>
  <c r="O67" i="6"/>
  <c r="U67" i="6" s="1"/>
  <c r="V67" i="6" s="1"/>
  <c r="W67" i="6" s="1"/>
  <c r="T34" i="6"/>
  <c r="S34" i="6"/>
  <c r="R34" i="6"/>
  <c r="Q34" i="6"/>
  <c r="P34" i="6"/>
  <c r="O34" i="6"/>
  <c r="T219" i="6"/>
  <c r="S219" i="6"/>
  <c r="R219" i="6"/>
  <c r="Q219" i="6"/>
  <c r="P219" i="6"/>
  <c r="O219" i="6"/>
  <c r="U219" i="6" s="1"/>
  <c r="V219" i="6" s="1"/>
  <c r="W219" i="6" s="1"/>
  <c r="T33" i="6"/>
  <c r="S33" i="6"/>
  <c r="R33" i="6"/>
  <c r="Q33" i="6"/>
  <c r="P33" i="6"/>
  <c r="O33" i="6"/>
  <c r="T188" i="6"/>
  <c r="S188" i="6"/>
  <c r="R188" i="6"/>
  <c r="Q188" i="6"/>
  <c r="P188" i="6"/>
  <c r="O188" i="6"/>
  <c r="U188" i="6" s="1"/>
  <c r="V188" i="6" s="1"/>
  <c r="W188" i="6" s="1"/>
  <c r="T78" i="6"/>
  <c r="S78" i="6"/>
  <c r="R78" i="6"/>
  <c r="Q78" i="6"/>
  <c r="P78" i="6"/>
  <c r="O78" i="6"/>
  <c r="T316" i="6"/>
  <c r="S316" i="6"/>
  <c r="R316" i="6"/>
  <c r="Q316" i="6"/>
  <c r="P316" i="6"/>
  <c r="O316" i="6"/>
  <c r="U316" i="6" s="1"/>
  <c r="V316" i="6" s="1"/>
  <c r="W316" i="6" s="1"/>
  <c r="T111" i="6"/>
  <c r="S111" i="6"/>
  <c r="R111" i="6"/>
  <c r="Q111" i="6"/>
  <c r="P111" i="6"/>
  <c r="O111" i="6"/>
  <c r="T47" i="6"/>
  <c r="S47" i="6"/>
  <c r="R47" i="6"/>
  <c r="Q47" i="6"/>
  <c r="P47" i="6"/>
  <c r="O47" i="6"/>
  <c r="U47" i="6" s="1"/>
  <c r="V47" i="6" s="1"/>
  <c r="W47" i="6" s="1"/>
  <c r="T24" i="6"/>
  <c r="S24" i="6"/>
  <c r="R24" i="6"/>
  <c r="Q24" i="6"/>
  <c r="P24" i="6"/>
  <c r="O24" i="6"/>
  <c r="U24" i="6" s="1"/>
  <c r="V24" i="6" s="1"/>
  <c r="W24" i="6" s="1"/>
  <c r="T230" i="6"/>
  <c r="S230" i="6"/>
  <c r="R230" i="6"/>
  <c r="Q230" i="6"/>
  <c r="P230" i="6"/>
  <c r="O230" i="6"/>
  <c r="U230" i="6" s="1"/>
  <c r="V230" i="6" s="1"/>
  <c r="W230" i="6" s="1"/>
  <c r="T222" i="6"/>
  <c r="S222" i="6"/>
  <c r="R222" i="6"/>
  <c r="Q222" i="6"/>
  <c r="P222" i="6"/>
  <c r="O222" i="6"/>
  <c r="T320" i="6"/>
  <c r="S320" i="6"/>
  <c r="R320" i="6"/>
  <c r="Q320" i="6"/>
  <c r="P320" i="6"/>
  <c r="O320" i="6"/>
  <c r="U320" i="6" s="1"/>
  <c r="V320" i="6" s="1"/>
  <c r="W320" i="6" s="1"/>
  <c r="T88" i="6"/>
  <c r="S88" i="6"/>
  <c r="R88" i="6"/>
  <c r="Q88" i="6"/>
  <c r="P88" i="6"/>
  <c r="O88" i="6"/>
  <c r="T255" i="6"/>
  <c r="S255" i="6"/>
  <c r="R255" i="6"/>
  <c r="Q255" i="6"/>
  <c r="P255" i="6"/>
  <c r="O255" i="6"/>
  <c r="U255" i="6" s="1"/>
  <c r="V255" i="6" s="1"/>
  <c r="W255" i="6" s="1"/>
  <c r="T232" i="6"/>
  <c r="S232" i="6"/>
  <c r="R232" i="6"/>
  <c r="Q232" i="6"/>
  <c r="P232" i="6"/>
  <c r="O232" i="6"/>
  <c r="T261" i="6"/>
  <c r="S261" i="6"/>
  <c r="R261" i="6"/>
  <c r="Q261" i="6"/>
  <c r="P261" i="6"/>
  <c r="O261" i="6"/>
  <c r="U261" i="6" s="1"/>
  <c r="V261" i="6" s="1"/>
  <c r="W261" i="6" s="1"/>
  <c r="T311" i="6"/>
  <c r="S311" i="6"/>
  <c r="R311" i="6"/>
  <c r="Q311" i="6"/>
  <c r="P311" i="6"/>
  <c r="O311" i="6"/>
  <c r="T114" i="6"/>
  <c r="S114" i="6"/>
  <c r="R114" i="6"/>
  <c r="Q114" i="6"/>
  <c r="P114" i="6"/>
  <c r="O114" i="6"/>
  <c r="U114" i="6" s="1"/>
  <c r="V114" i="6" s="1"/>
  <c r="W114" i="6" s="1"/>
  <c r="T224" i="6"/>
  <c r="S224" i="6"/>
  <c r="R224" i="6"/>
  <c r="Q224" i="6"/>
  <c r="P224" i="6"/>
  <c r="O224" i="6"/>
  <c r="T317" i="6"/>
  <c r="S317" i="6"/>
  <c r="R317" i="6"/>
  <c r="Q317" i="6"/>
  <c r="P317" i="6"/>
  <c r="O317" i="6"/>
  <c r="U317" i="6" s="1"/>
  <c r="V317" i="6" s="1"/>
  <c r="W317" i="6" s="1"/>
  <c r="T205" i="6"/>
  <c r="S205" i="6"/>
  <c r="R205" i="6"/>
  <c r="Q205" i="6"/>
  <c r="P205" i="6"/>
  <c r="O205" i="6"/>
  <c r="T57" i="6"/>
  <c r="S57" i="6"/>
  <c r="R57" i="6"/>
  <c r="Q57" i="6"/>
  <c r="P57" i="6"/>
  <c r="O57" i="6"/>
  <c r="U57" i="6" s="1"/>
  <c r="V57" i="6" s="1"/>
  <c r="W57" i="6" s="1"/>
  <c r="T242" i="6"/>
  <c r="S242" i="6"/>
  <c r="R242" i="6"/>
  <c r="Q242" i="6"/>
  <c r="P242" i="6"/>
  <c r="O242" i="6"/>
  <c r="T194" i="6"/>
  <c r="S194" i="6"/>
  <c r="R194" i="6"/>
  <c r="Q194" i="6"/>
  <c r="P194" i="6"/>
  <c r="O194" i="6"/>
  <c r="U194" i="6" s="1"/>
  <c r="V194" i="6" s="1"/>
  <c r="W194" i="6" s="1"/>
  <c r="T55" i="6"/>
  <c r="S55" i="6"/>
  <c r="R55" i="6"/>
  <c r="Q55" i="6"/>
  <c r="P55" i="6"/>
  <c r="O55" i="6"/>
  <c r="T310" i="6"/>
  <c r="S310" i="6"/>
  <c r="R310" i="6"/>
  <c r="Q310" i="6"/>
  <c r="P310" i="6"/>
  <c r="O310" i="6"/>
  <c r="U310" i="6" s="1"/>
  <c r="V310" i="6" s="1"/>
  <c r="W310" i="6" s="1"/>
  <c r="T209" i="6"/>
  <c r="S209" i="6"/>
  <c r="R209" i="6"/>
  <c r="Q209" i="6"/>
  <c r="P209" i="6"/>
  <c r="O209" i="6"/>
  <c r="T126" i="6"/>
  <c r="S126" i="6"/>
  <c r="R126" i="6"/>
  <c r="Q126" i="6"/>
  <c r="P126" i="6"/>
  <c r="O126" i="6"/>
  <c r="U126" i="6" s="1"/>
  <c r="V126" i="6" s="1"/>
  <c r="W126" i="6" s="1"/>
  <c r="T292" i="6"/>
  <c r="S292" i="6"/>
  <c r="R292" i="6"/>
  <c r="Q292" i="6"/>
  <c r="P292" i="6"/>
  <c r="O292" i="6"/>
  <c r="T277" i="6"/>
  <c r="S277" i="6"/>
  <c r="R277" i="6"/>
  <c r="Q277" i="6"/>
  <c r="P277" i="6"/>
  <c r="O277" i="6"/>
  <c r="U277" i="6" s="1"/>
  <c r="V277" i="6" s="1"/>
  <c r="W277" i="6" s="1"/>
  <c r="T97" i="6"/>
  <c r="S97" i="6"/>
  <c r="R97" i="6"/>
  <c r="Q97" i="6"/>
  <c r="P97" i="6"/>
  <c r="O97" i="6"/>
  <c r="T177" i="6"/>
  <c r="S177" i="6"/>
  <c r="R177" i="6"/>
  <c r="Q177" i="6"/>
  <c r="P177" i="6"/>
  <c r="O177" i="6"/>
  <c r="U177" i="6" s="1"/>
  <c r="V177" i="6" s="1"/>
  <c r="W177" i="6" s="1"/>
  <c r="T178" i="6"/>
  <c r="S178" i="6"/>
  <c r="R178" i="6"/>
  <c r="Q178" i="6"/>
  <c r="P178" i="6"/>
  <c r="O178" i="6"/>
  <c r="T2" i="6"/>
  <c r="S2" i="6"/>
  <c r="R2" i="6"/>
  <c r="Q2" i="6"/>
  <c r="P2" i="6"/>
  <c r="O2" i="6"/>
  <c r="U2" i="6" s="1"/>
  <c r="V2" i="6" s="1"/>
  <c r="W2" i="6" s="1"/>
  <c r="T204" i="6"/>
  <c r="S204" i="6"/>
  <c r="R204" i="6"/>
  <c r="Q204" i="6"/>
  <c r="P204" i="6"/>
  <c r="O204" i="6"/>
  <c r="U204" i="6" s="1"/>
  <c r="V204" i="6" s="1"/>
  <c r="W204" i="6" s="1"/>
  <c r="T79" i="6"/>
  <c r="S79" i="6"/>
  <c r="R79" i="6"/>
  <c r="Q79" i="6"/>
  <c r="P79" i="6"/>
  <c r="O79" i="6"/>
  <c r="U79" i="6" s="1"/>
  <c r="V79" i="6" s="1"/>
  <c r="W79" i="6" s="1"/>
  <c r="T227" i="6"/>
  <c r="S227" i="6"/>
  <c r="R227" i="6"/>
  <c r="Q227" i="6"/>
  <c r="P227" i="6"/>
  <c r="O227" i="6"/>
  <c r="T69" i="6"/>
  <c r="S69" i="6"/>
  <c r="R69" i="6"/>
  <c r="Q69" i="6"/>
  <c r="P69" i="6"/>
  <c r="O69" i="6"/>
  <c r="U69" i="6" s="1"/>
  <c r="V69" i="6" s="1"/>
  <c r="W69" i="6" s="1"/>
  <c r="T215" i="6"/>
  <c r="S215" i="6"/>
  <c r="R215" i="6"/>
  <c r="Q215" i="6"/>
  <c r="P215" i="6"/>
  <c r="O215" i="6"/>
  <c r="T155" i="6"/>
  <c r="S155" i="6"/>
  <c r="R155" i="6"/>
  <c r="Q155" i="6"/>
  <c r="P155" i="6"/>
  <c r="O155" i="6"/>
  <c r="U155" i="6" s="1"/>
  <c r="V155" i="6" s="1"/>
  <c r="W155" i="6" s="1"/>
  <c r="T287" i="6"/>
  <c r="S287" i="6"/>
  <c r="R287" i="6"/>
  <c r="Q287" i="6"/>
  <c r="P287" i="6"/>
  <c r="O287" i="6"/>
  <c r="T260" i="6"/>
  <c r="S260" i="6"/>
  <c r="R260" i="6"/>
  <c r="Q260" i="6"/>
  <c r="P260" i="6"/>
  <c r="O260" i="6"/>
  <c r="U260" i="6" s="1"/>
  <c r="V260" i="6" s="1"/>
  <c r="W260" i="6" s="1"/>
  <c r="T49" i="6"/>
  <c r="S49" i="6"/>
  <c r="R49" i="6"/>
  <c r="Q49" i="6"/>
  <c r="P49" i="6"/>
  <c r="O49" i="6"/>
  <c r="T87" i="6"/>
  <c r="S87" i="6"/>
  <c r="R87" i="6"/>
  <c r="Q87" i="6"/>
  <c r="P87" i="6"/>
  <c r="O87" i="6"/>
  <c r="U87" i="6" s="1"/>
  <c r="V87" i="6" s="1"/>
  <c r="W87" i="6" s="1"/>
  <c r="T298" i="6"/>
  <c r="S298" i="6"/>
  <c r="R298" i="6"/>
  <c r="Q298" i="6"/>
  <c r="P298" i="6"/>
  <c r="O298" i="6"/>
  <c r="T289" i="6"/>
  <c r="S289" i="6"/>
  <c r="R289" i="6"/>
  <c r="Q289" i="6"/>
  <c r="P289" i="6"/>
  <c r="O289" i="6"/>
  <c r="U289" i="6" s="1"/>
  <c r="V289" i="6" s="1"/>
  <c r="W289" i="6" s="1"/>
  <c r="T141" i="6"/>
  <c r="S141" i="6"/>
  <c r="R141" i="6"/>
  <c r="Q141" i="6"/>
  <c r="P141" i="6"/>
  <c r="O141" i="6"/>
  <c r="T85" i="6"/>
  <c r="S85" i="6"/>
  <c r="R85" i="6"/>
  <c r="Q85" i="6"/>
  <c r="P85" i="6"/>
  <c r="O85" i="6"/>
  <c r="U85" i="6" s="1"/>
  <c r="V85" i="6" s="1"/>
  <c r="W85" i="6" s="1"/>
  <c r="T304" i="6"/>
  <c r="S304" i="6"/>
  <c r="R304" i="6"/>
  <c r="Q304" i="6"/>
  <c r="P304" i="6"/>
  <c r="O304" i="6"/>
  <c r="T40" i="6"/>
  <c r="S40" i="6"/>
  <c r="R40" i="6"/>
  <c r="Q40" i="6"/>
  <c r="P40" i="6"/>
  <c r="O40" i="6"/>
  <c r="U40" i="6" s="1"/>
  <c r="V40" i="6" s="1"/>
  <c r="W40" i="6" s="1"/>
  <c r="T275" i="6"/>
  <c r="S275" i="6"/>
  <c r="R275" i="6"/>
  <c r="Q275" i="6"/>
  <c r="P275" i="6"/>
  <c r="O275" i="6"/>
  <c r="T297" i="6"/>
  <c r="S297" i="6"/>
  <c r="R297" i="6"/>
  <c r="Q297" i="6"/>
  <c r="P297" i="6"/>
  <c r="O297" i="6"/>
  <c r="U297" i="6" s="1"/>
  <c r="V297" i="6" s="1"/>
  <c r="W297" i="6" s="1"/>
  <c r="T244" i="6"/>
  <c r="S244" i="6"/>
  <c r="R244" i="6"/>
  <c r="Q244" i="6"/>
  <c r="P244" i="6"/>
  <c r="O244" i="6"/>
  <c r="T96" i="6"/>
  <c r="S96" i="6"/>
  <c r="R96" i="6"/>
  <c r="Q96" i="6"/>
  <c r="P96" i="6"/>
  <c r="O96" i="6"/>
  <c r="U96" i="6" s="1"/>
  <c r="V96" i="6" s="1"/>
  <c r="W96" i="6" s="1"/>
  <c r="T308" i="6"/>
  <c r="S308" i="6"/>
  <c r="R308" i="6"/>
  <c r="Q308" i="6"/>
  <c r="P308" i="6"/>
  <c r="O308" i="6"/>
  <c r="T161" i="6"/>
  <c r="S161" i="6"/>
  <c r="R161" i="6"/>
  <c r="Q161" i="6"/>
  <c r="P161" i="6"/>
  <c r="O161" i="6"/>
  <c r="U161" i="6" s="1"/>
  <c r="V161" i="6" s="1"/>
  <c r="W161" i="6" s="1"/>
  <c r="T3" i="6"/>
  <c r="S3" i="6"/>
  <c r="R3" i="6"/>
  <c r="Q3" i="6"/>
  <c r="P3" i="6"/>
  <c r="O3" i="6"/>
  <c r="T169" i="6"/>
  <c r="S169" i="6"/>
  <c r="R169" i="6"/>
  <c r="Q169" i="6"/>
  <c r="P169" i="6"/>
  <c r="O169" i="6"/>
  <c r="U169" i="6" s="1"/>
  <c r="V169" i="6" s="1"/>
  <c r="W169" i="6" s="1"/>
  <c r="T48" i="6"/>
  <c r="S48" i="6"/>
  <c r="R48" i="6"/>
  <c r="Q48" i="6"/>
  <c r="P48" i="6"/>
  <c r="O48" i="6"/>
  <c r="T252" i="6"/>
  <c r="S252" i="6"/>
  <c r="R252" i="6"/>
  <c r="Q252" i="6"/>
  <c r="P252" i="6"/>
  <c r="O252" i="6"/>
  <c r="U252" i="6" s="1"/>
  <c r="V252" i="6" s="1"/>
  <c r="W252" i="6" s="1"/>
  <c r="T167" i="6"/>
  <c r="S167" i="6"/>
  <c r="R167" i="6"/>
  <c r="Q167" i="6"/>
  <c r="P167" i="6"/>
  <c r="O167" i="6"/>
  <c r="T258" i="6"/>
  <c r="S258" i="6"/>
  <c r="R258" i="6"/>
  <c r="Q258" i="6"/>
  <c r="P258" i="6"/>
  <c r="O258" i="6"/>
  <c r="U258" i="6" s="1"/>
  <c r="V258" i="6" s="1"/>
  <c r="W258" i="6" s="1"/>
  <c r="T274" i="6"/>
  <c r="S274" i="6"/>
  <c r="R274" i="6"/>
  <c r="Q274" i="6"/>
  <c r="P274" i="6"/>
  <c r="O274" i="6"/>
  <c r="T82" i="6"/>
  <c r="S82" i="6"/>
  <c r="R82" i="6"/>
  <c r="Q82" i="6"/>
  <c r="P82" i="6"/>
  <c r="O82" i="6"/>
  <c r="U82" i="6" s="1"/>
  <c r="V82" i="6" s="1"/>
  <c r="W82" i="6" s="1"/>
  <c r="T19" i="6"/>
  <c r="S19" i="6"/>
  <c r="R19" i="6"/>
  <c r="Q19" i="6"/>
  <c r="P19" i="6"/>
  <c r="O19" i="6"/>
  <c r="T74" i="6"/>
  <c r="S74" i="6"/>
  <c r="R74" i="6"/>
  <c r="Q74" i="6"/>
  <c r="P74" i="6"/>
  <c r="O74" i="6"/>
  <c r="U74" i="6" s="1"/>
  <c r="V74" i="6" s="1"/>
  <c r="W74" i="6" s="1"/>
  <c r="T66" i="6"/>
  <c r="S66" i="6"/>
  <c r="R66" i="6"/>
  <c r="Q66" i="6"/>
  <c r="P66" i="6"/>
  <c r="O66" i="6"/>
  <c r="T8" i="6"/>
  <c r="S8" i="6"/>
  <c r="R8" i="6"/>
  <c r="Q8" i="6"/>
  <c r="P8" i="6"/>
  <c r="O8" i="6"/>
  <c r="U8" i="6" s="1"/>
  <c r="V8" i="6" s="1"/>
  <c r="W8" i="6" s="1"/>
  <c r="T231" i="6"/>
  <c r="S231" i="6"/>
  <c r="R231" i="6"/>
  <c r="Q231" i="6"/>
  <c r="P231" i="6"/>
  <c r="O231" i="6"/>
  <c r="T250" i="6"/>
  <c r="S250" i="6"/>
  <c r="R250" i="6"/>
  <c r="Q250" i="6"/>
  <c r="P250" i="6"/>
  <c r="O250" i="6"/>
  <c r="U250" i="6" s="1"/>
  <c r="V250" i="6" s="1"/>
  <c r="W250" i="6" s="1"/>
  <c r="T54" i="6"/>
  <c r="S54" i="6"/>
  <c r="R54" i="6"/>
  <c r="Q54" i="6"/>
  <c r="P54" i="6"/>
  <c r="O54" i="6"/>
  <c r="T247" i="6"/>
  <c r="S247" i="6"/>
  <c r="R247" i="6"/>
  <c r="Q247" i="6"/>
  <c r="P247" i="6"/>
  <c r="O247" i="6"/>
  <c r="U247" i="6" s="1"/>
  <c r="V247" i="6" s="1"/>
  <c r="W247" i="6" s="1"/>
  <c r="T234" i="6"/>
  <c r="S234" i="6"/>
  <c r="R234" i="6"/>
  <c r="Q234" i="6"/>
  <c r="P234" i="6"/>
  <c r="O234" i="6"/>
  <c r="T233" i="6"/>
  <c r="S233" i="6"/>
  <c r="R233" i="6"/>
  <c r="Q233" i="6"/>
  <c r="P233" i="6"/>
  <c r="O233" i="6"/>
  <c r="U233" i="6" s="1"/>
  <c r="V233" i="6" s="1"/>
  <c r="W233" i="6" s="1"/>
  <c r="T29" i="6"/>
  <c r="S29" i="6"/>
  <c r="R29" i="6"/>
  <c r="Q29" i="6"/>
  <c r="P29" i="6"/>
  <c r="O29" i="6"/>
  <c r="T254" i="6"/>
  <c r="S254" i="6"/>
  <c r="R254" i="6"/>
  <c r="Q254" i="6"/>
  <c r="P254" i="6"/>
  <c r="O254" i="6"/>
  <c r="U254" i="6" s="1"/>
  <c r="V254" i="6" s="1"/>
  <c r="W254" i="6" s="1"/>
  <c r="T235" i="6"/>
  <c r="S235" i="6"/>
  <c r="R235" i="6"/>
  <c r="Q235" i="6"/>
  <c r="P235" i="6"/>
  <c r="O235" i="6"/>
  <c r="T65" i="6"/>
  <c r="S65" i="6"/>
  <c r="R65" i="6"/>
  <c r="Q65" i="6"/>
  <c r="P65" i="6"/>
  <c r="O65" i="6"/>
  <c r="U65" i="6" s="1"/>
  <c r="V65" i="6" s="1"/>
  <c r="W65" i="6" s="1"/>
  <c r="T4" i="6"/>
  <c r="S4" i="6"/>
  <c r="R4" i="6"/>
  <c r="Q4" i="6"/>
  <c r="P4" i="6"/>
  <c r="O4" i="6"/>
  <c r="T173" i="6"/>
  <c r="S173" i="6"/>
  <c r="R173" i="6"/>
  <c r="Q173" i="6"/>
  <c r="P173" i="6"/>
  <c r="O173" i="6"/>
  <c r="U173" i="6" s="1"/>
  <c r="V173" i="6" s="1"/>
  <c r="W173" i="6" s="1"/>
  <c r="T256" i="6"/>
  <c r="S256" i="6"/>
  <c r="R256" i="6"/>
  <c r="Q256" i="6"/>
  <c r="P256" i="6"/>
  <c r="O256" i="6"/>
  <c r="T176" i="6"/>
  <c r="S176" i="6"/>
  <c r="R176" i="6"/>
  <c r="Q176" i="6"/>
  <c r="P176" i="6"/>
  <c r="O176" i="6"/>
  <c r="U176" i="6" s="1"/>
  <c r="V176" i="6" s="1"/>
  <c r="W176" i="6" s="1"/>
  <c r="T201" i="6"/>
  <c r="S201" i="6"/>
  <c r="R201" i="6"/>
  <c r="Q201" i="6"/>
  <c r="P201" i="6"/>
  <c r="O201" i="6"/>
  <c r="T89" i="6"/>
  <c r="S89" i="6"/>
  <c r="R89" i="6"/>
  <c r="Q89" i="6"/>
  <c r="P89" i="6"/>
  <c r="O89" i="6"/>
  <c r="U89" i="6" s="1"/>
  <c r="V89" i="6" s="1"/>
  <c r="W89" i="6" s="1"/>
  <c r="T115" i="6"/>
  <c r="S115" i="6"/>
  <c r="R115" i="6"/>
  <c r="Q115" i="6"/>
  <c r="P115" i="6"/>
  <c r="O115" i="6"/>
  <c r="T83" i="6"/>
  <c r="S83" i="6"/>
  <c r="R83" i="6"/>
  <c r="Q83" i="6"/>
  <c r="P83" i="6"/>
  <c r="O83" i="6"/>
  <c r="U83" i="6" s="1"/>
  <c r="V83" i="6" s="1"/>
  <c r="W83" i="6" s="1"/>
  <c r="T280" i="6"/>
  <c r="S280" i="6"/>
  <c r="R280" i="6"/>
  <c r="Q280" i="6"/>
  <c r="P280" i="6"/>
  <c r="O280" i="6"/>
  <c r="T146" i="6"/>
  <c r="S146" i="6"/>
  <c r="R146" i="6"/>
  <c r="Q146" i="6"/>
  <c r="P146" i="6"/>
  <c r="O146" i="6"/>
  <c r="U146" i="6" s="1"/>
  <c r="V146" i="6" s="1"/>
  <c r="W146" i="6" s="1"/>
  <c r="T171" i="6"/>
  <c r="S171" i="6"/>
  <c r="R171" i="6"/>
  <c r="Q171" i="6"/>
  <c r="P171" i="6"/>
  <c r="O171" i="6"/>
  <c r="T28" i="6"/>
  <c r="S28" i="6"/>
  <c r="R28" i="6"/>
  <c r="Q28" i="6"/>
  <c r="P28" i="6"/>
  <c r="O28" i="6"/>
  <c r="U28" i="6" s="1"/>
  <c r="V28" i="6" s="1"/>
  <c r="W28" i="6" s="1"/>
  <c r="T15" i="6"/>
  <c r="S15" i="6"/>
  <c r="R15" i="6"/>
  <c r="Q15" i="6"/>
  <c r="P15" i="6"/>
  <c r="O15" i="6"/>
  <c r="T112" i="6"/>
  <c r="S112" i="6"/>
  <c r="R112" i="6"/>
  <c r="Q112" i="6"/>
  <c r="P112" i="6"/>
  <c r="O112" i="6"/>
  <c r="U112" i="6" s="1"/>
  <c r="V112" i="6" s="1"/>
  <c r="W112" i="6" s="1"/>
  <c r="T108" i="6"/>
  <c r="S108" i="6"/>
  <c r="R108" i="6"/>
  <c r="Q108" i="6"/>
  <c r="P108" i="6"/>
  <c r="O108" i="6"/>
  <c r="T238" i="6"/>
  <c r="S238" i="6"/>
  <c r="R238" i="6"/>
  <c r="Q238" i="6"/>
  <c r="P238" i="6"/>
  <c r="O238" i="6"/>
  <c r="U238" i="6" s="1"/>
  <c r="V238" i="6" s="1"/>
  <c r="W238" i="6" s="1"/>
  <c r="T22" i="6"/>
  <c r="S22" i="6"/>
  <c r="R22" i="6"/>
  <c r="Q22" i="6"/>
  <c r="P22" i="6"/>
  <c r="O22" i="6"/>
  <c r="T271" i="6"/>
  <c r="S271" i="6"/>
  <c r="R271" i="6"/>
  <c r="Q271" i="6"/>
  <c r="P271" i="6"/>
  <c r="O271" i="6"/>
  <c r="U271" i="6" s="1"/>
  <c r="V271" i="6" s="1"/>
  <c r="W271" i="6" s="1"/>
  <c r="T81" i="6"/>
  <c r="S81" i="6"/>
  <c r="R81" i="6"/>
  <c r="Q81" i="6"/>
  <c r="P81" i="6"/>
  <c r="O81" i="6"/>
  <c r="T5" i="6"/>
  <c r="S5" i="6"/>
  <c r="R5" i="6"/>
  <c r="Q5" i="6"/>
  <c r="P5" i="6"/>
  <c r="O5" i="6"/>
  <c r="U5" i="6" s="1"/>
  <c r="V5" i="6" s="1"/>
  <c r="W5" i="6" s="1"/>
  <c r="T46" i="6"/>
  <c r="S46" i="6"/>
  <c r="R46" i="6"/>
  <c r="Q46" i="6"/>
  <c r="P46" i="6"/>
  <c r="O46" i="6"/>
  <c r="T158" i="6"/>
  <c r="S158" i="6"/>
  <c r="R158" i="6"/>
  <c r="Q158" i="6"/>
  <c r="P158" i="6"/>
  <c r="O158" i="6"/>
  <c r="U158" i="6" s="1"/>
  <c r="V158" i="6" s="1"/>
  <c r="W158" i="6" s="1"/>
  <c r="T182" i="6"/>
  <c r="S182" i="6"/>
  <c r="R182" i="6"/>
  <c r="Q182" i="6"/>
  <c r="P182" i="6"/>
  <c r="O182" i="6"/>
  <c r="T121" i="6"/>
  <c r="S121" i="6"/>
  <c r="R121" i="6"/>
  <c r="Q121" i="6"/>
  <c r="P121" i="6"/>
  <c r="O121" i="6"/>
  <c r="U121" i="6" s="1"/>
  <c r="V121" i="6" s="1"/>
  <c r="W121" i="6" s="1"/>
  <c r="T13" i="6"/>
  <c r="S13" i="6"/>
  <c r="R13" i="6"/>
  <c r="Q13" i="6"/>
  <c r="P13" i="6"/>
  <c r="O13" i="6"/>
  <c r="T90" i="6"/>
  <c r="S90" i="6"/>
  <c r="R90" i="6"/>
  <c r="Q90" i="6"/>
  <c r="P90" i="6"/>
  <c r="O90" i="6"/>
  <c r="U90" i="6" s="1"/>
  <c r="V90" i="6" s="1"/>
  <c r="W90" i="6" s="1"/>
  <c r="T68" i="6"/>
  <c r="S68" i="6"/>
  <c r="R68" i="6"/>
  <c r="Q68" i="6"/>
  <c r="P68" i="6"/>
  <c r="O68" i="6"/>
  <c r="T147" i="6"/>
  <c r="S147" i="6"/>
  <c r="R147" i="6"/>
  <c r="Q147" i="6"/>
  <c r="P147" i="6"/>
  <c r="O147" i="6"/>
  <c r="U147" i="6" s="1"/>
  <c r="V147" i="6" s="1"/>
  <c r="W147" i="6" s="1"/>
  <c r="T122" i="6"/>
  <c r="S122" i="6"/>
  <c r="R122" i="6"/>
  <c r="Q122" i="6"/>
  <c r="P122" i="6"/>
  <c r="O122" i="6"/>
  <c r="T236" i="6"/>
  <c r="S236" i="6"/>
  <c r="R236" i="6"/>
  <c r="Q236" i="6"/>
  <c r="P236" i="6"/>
  <c r="O236" i="6"/>
  <c r="U236" i="6" s="1"/>
  <c r="V236" i="6" s="1"/>
  <c r="W236" i="6" s="1"/>
  <c r="T140" i="6"/>
  <c r="S140" i="6"/>
  <c r="R140" i="6"/>
  <c r="Q140" i="6"/>
  <c r="P140" i="6"/>
  <c r="O140" i="6"/>
  <c r="T43" i="6"/>
  <c r="S43" i="6"/>
  <c r="R43" i="6"/>
  <c r="Q43" i="6"/>
  <c r="P43" i="6"/>
  <c r="O43" i="6"/>
  <c r="U43" i="6" s="1"/>
  <c r="V43" i="6" s="1"/>
  <c r="W43" i="6" s="1"/>
  <c r="T270" i="6"/>
  <c r="S270" i="6"/>
  <c r="R270" i="6"/>
  <c r="Q270" i="6"/>
  <c r="P270" i="6"/>
  <c r="O270" i="6"/>
  <c r="T278" i="6"/>
  <c r="S278" i="6"/>
  <c r="R278" i="6"/>
  <c r="Q278" i="6"/>
  <c r="P278" i="6"/>
  <c r="O278" i="6"/>
  <c r="U278" i="6" s="1"/>
  <c r="V278" i="6" s="1"/>
  <c r="W278" i="6" s="1"/>
  <c r="T70" i="6"/>
  <c r="S70" i="6"/>
  <c r="R70" i="6"/>
  <c r="Q70" i="6"/>
  <c r="P70" i="6"/>
  <c r="O70" i="6"/>
  <c r="T72" i="6"/>
  <c r="S72" i="6"/>
  <c r="R72" i="6"/>
  <c r="Q72" i="6"/>
  <c r="P72" i="6"/>
  <c r="O72" i="6"/>
  <c r="U72" i="6" s="1"/>
  <c r="V72" i="6" s="1"/>
  <c r="W72" i="6" s="1"/>
  <c r="T301" i="6"/>
  <c r="S301" i="6"/>
  <c r="R301" i="6"/>
  <c r="Q301" i="6"/>
  <c r="P301" i="6"/>
  <c r="O301" i="6"/>
  <c r="T302" i="6"/>
  <c r="S302" i="6"/>
  <c r="R302" i="6"/>
  <c r="Q302" i="6"/>
  <c r="P302" i="6"/>
  <c r="O302" i="6"/>
  <c r="U302" i="6" s="1"/>
  <c r="V302" i="6" s="1"/>
  <c r="W302" i="6" s="1"/>
  <c r="T160" i="6"/>
  <c r="S160" i="6"/>
  <c r="R160" i="6"/>
  <c r="Q160" i="6"/>
  <c r="P160" i="6"/>
  <c r="O160" i="6"/>
  <c r="T119" i="6"/>
  <c r="S119" i="6"/>
  <c r="R119" i="6"/>
  <c r="Q119" i="6"/>
  <c r="P119" i="6"/>
  <c r="O119" i="6"/>
  <c r="U119" i="6" s="1"/>
  <c r="V119" i="6" s="1"/>
  <c r="W119" i="6" s="1"/>
  <c r="T39" i="6"/>
  <c r="S39" i="6"/>
  <c r="R39" i="6"/>
  <c r="Q39" i="6"/>
  <c r="P39" i="6"/>
  <c r="O39" i="6"/>
  <c r="T10" i="6"/>
  <c r="S10" i="6"/>
  <c r="R10" i="6"/>
  <c r="Q10" i="6"/>
  <c r="P10" i="6"/>
  <c r="O10" i="6"/>
  <c r="U10" i="6" s="1"/>
  <c r="V10" i="6" s="1"/>
  <c r="W10" i="6" s="1"/>
  <c r="T102" i="6"/>
  <c r="S102" i="6"/>
  <c r="R102" i="6"/>
  <c r="Q102" i="6"/>
  <c r="P102" i="6"/>
  <c r="O102" i="6"/>
  <c r="T44" i="6"/>
  <c r="S44" i="6"/>
  <c r="R44" i="6"/>
  <c r="Q44" i="6"/>
  <c r="P44" i="6"/>
  <c r="O44" i="6"/>
  <c r="U44" i="6" s="1"/>
  <c r="V44" i="6" s="1"/>
  <c r="W44" i="6" s="1"/>
  <c r="T99" i="6"/>
  <c r="S99" i="6"/>
  <c r="R99" i="6"/>
  <c r="Q99" i="6"/>
  <c r="P99" i="6"/>
  <c r="O99" i="6"/>
  <c r="U4" i="6" l="1"/>
  <c r="V4" i="6" s="1"/>
  <c r="W4" i="6" s="1"/>
  <c r="U224" i="6"/>
  <c r="V224" i="6" s="1"/>
  <c r="W224" i="6" s="1"/>
  <c r="U311" i="6"/>
  <c r="V311" i="6" s="1"/>
  <c r="W311" i="6" s="1"/>
  <c r="U222" i="6"/>
  <c r="V222" i="6" s="1"/>
  <c r="W222" i="6" s="1"/>
  <c r="U111" i="6"/>
  <c r="V111" i="6" s="1"/>
  <c r="W111" i="6" s="1"/>
  <c r="U293" i="6"/>
  <c r="V293" i="6" s="1"/>
  <c r="W293" i="6" s="1"/>
  <c r="U265" i="6"/>
  <c r="V265" i="6" s="1"/>
  <c r="W265" i="6" s="1"/>
  <c r="U133" i="6"/>
  <c r="V133" i="6" s="1"/>
  <c r="W133" i="6" s="1"/>
  <c r="U17" i="6"/>
  <c r="V17" i="6" s="1"/>
  <c r="W17" i="6" s="1"/>
  <c r="U11" i="6"/>
  <c r="V11" i="6" s="1"/>
  <c r="W11" i="6" s="1"/>
  <c r="U220" i="6"/>
  <c r="V220" i="6" s="1"/>
  <c r="W220" i="6" s="1"/>
  <c r="U181" i="6"/>
  <c r="V181" i="6" s="1"/>
  <c r="W181" i="6" s="1"/>
  <c r="U197" i="6"/>
  <c r="V197" i="6" s="1"/>
  <c r="W197" i="6" s="1"/>
  <c r="U93" i="6"/>
  <c r="V93" i="6" s="1"/>
  <c r="W93" i="6" s="1"/>
  <c r="U37" i="6"/>
  <c r="V37" i="6" s="1"/>
  <c r="W37" i="6" s="1"/>
  <c r="U283" i="6"/>
  <c r="V283" i="6" s="1"/>
  <c r="W283" i="6" s="1"/>
  <c r="U118" i="6"/>
  <c r="V118" i="6" s="1"/>
  <c r="W118" i="6" s="1"/>
  <c r="U288" i="6"/>
  <c r="V288" i="6" s="1"/>
  <c r="W288" i="6" s="1"/>
  <c r="U249" i="6"/>
  <c r="V249" i="6" s="1"/>
  <c r="W249" i="6" s="1"/>
  <c r="U272" i="6"/>
  <c r="V272" i="6" s="1"/>
  <c r="W272" i="6" s="1"/>
  <c r="U295" i="6"/>
  <c r="V295" i="6" s="1"/>
  <c r="W295" i="6" s="1"/>
  <c r="U136" i="6"/>
  <c r="V136" i="6" s="1"/>
  <c r="W136" i="6" s="1"/>
  <c r="U300" i="6"/>
  <c r="V300" i="6" s="1"/>
  <c r="W300" i="6" s="1"/>
  <c r="U25" i="6"/>
  <c r="V25" i="6" s="1"/>
  <c r="W25" i="6" s="1"/>
  <c r="U163" i="6"/>
  <c r="V163" i="6" s="1"/>
  <c r="W163" i="6" s="1"/>
  <c r="U58" i="6"/>
  <c r="V58" i="6" s="1"/>
  <c r="W58" i="6" s="1"/>
  <c r="U226" i="6"/>
  <c r="V226" i="6" s="1"/>
  <c r="W226" i="6" s="1"/>
  <c r="U104" i="6"/>
  <c r="V104" i="6" s="1"/>
  <c r="W104" i="6" s="1"/>
  <c r="U221" i="6"/>
  <c r="V221" i="6" s="1"/>
  <c r="W221" i="6" s="1"/>
  <c r="U214" i="6"/>
  <c r="V214" i="6" s="1"/>
  <c r="W214" i="6" s="1"/>
  <c r="U253" i="6"/>
  <c r="V253" i="6" s="1"/>
  <c r="W253" i="6" s="1"/>
  <c r="U6" i="6"/>
  <c r="V6" i="6" s="1"/>
  <c r="W6" i="6" s="1"/>
  <c r="U125" i="6"/>
  <c r="V125" i="6" s="1"/>
  <c r="W125" i="6" s="1"/>
  <c r="U53" i="6"/>
  <c r="V53" i="6" s="1"/>
  <c r="W53" i="6" s="1"/>
  <c r="U223" i="6"/>
  <c r="V223" i="6" s="1"/>
  <c r="W223" i="6" s="1"/>
  <c r="U157" i="6"/>
  <c r="V157" i="6" s="1"/>
  <c r="W157" i="6" s="1"/>
  <c r="U281" i="6"/>
  <c r="V281" i="6" s="1"/>
  <c r="W281" i="6" s="1"/>
  <c r="U127" i="6"/>
  <c r="V127" i="6" s="1"/>
  <c r="W127" i="6" s="1"/>
  <c r="U7" i="6"/>
  <c r="V7" i="6" s="1"/>
  <c r="W7" i="6" s="1"/>
  <c r="U117" i="6"/>
  <c r="V117" i="6" s="1"/>
  <c r="W117" i="6" s="1"/>
  <c r="U172" i="6"/>
  <c r="V172" i="6" s="1"/>
  <c r="W172" i="6" s="1"/>
  <c r="U14" i="6"/>
  <c r="V14" i="6" s="1"/>
  <c r="W14" i="6" s="1"/>
  <c r="U183" i="6"/>
  <c r="V183" i="6" s="1"/>
  <c r="W183" i="6" s="1"/>
  <c r="U101" i="6"/>
  <c r="V101" i="6" s="1"/>
  <c r="W101" i="6" s="1"/>
  <c r="U60" i="6"/>
  <c r="V60" i="6" s="1"/>
  <c r="W60" i="6" s="1"/>
  <c r="U137" i="6"/>
  <c r="V137" i="6" s="1"/>
  <c r="W137" i="6" s="1"/>
  <c r="U191" i="6"/>
  <c r="V191" i="6" s="1"/>
  <c r="W191" i="6" s="1"/>
  <c r="U113" i="6"/>
  <c r="V113" i="6" s="1"/>
  <c r="W113" i="6" s="1"/>
  <c r="U193" i="6"/>
  <c r="V193" i="6" s="1"/>
  <c r="W193" i="6" s="1"/>
  <c r="U20" i="6"/>
  <c r="V20" i="6" s="1"/>
  <c r="W20" i="6" s="1"/>
  <c r="U164" i="6"/>
  <c r="V164" i="6" s="1"/>
  <c r="W164" i="6" s="1"/>
  <c r="U99" i="6"/>
  <c r="V99" i="6" s="1"/>
  <c r="W99" i="6" s="1"/>
  <c r="U39" i="6"/>
  <c r="V39" i="6" s="1"/>
  <c r="W39" i="6" s="1"/>
  <c r="U160" i="6"/>
  <c r="V160" i="6" s="1"/>
  <c r="W160" i="6" s="1"/>
  <c r="U301" i="6"/>
  <c r="V301" i="6" s="1"/>
  <c r="W301" i="6" s="1"/>
  <c r="U70" i="6"/>
  <c r="V70" i="6" s="1"/>
  <c r="W70" i="6" s="1"/>
  <c r="U270" i="6"/>
  <c r="V270" i="6" s="1"/>
  <c r="W270" i="6" s="1"/>
  <c r="U140" i="6"/>
  <c r="V140" i="6" s="1"/>
  <c r="W140" i="6" s="1"/>
  <c r="U122" i="6"/>
  <c r="V122" i="6" s="1"/>
  <c r="W122" i="6" s="1"/>
  <c r="U68" i="6"/>
  <c r="V68" i="6" s="1"/>
  <c r="W68" i="6" s="1"/>
  <c r="U13" i="6"/>
  <c r="V13" i="6" s="1"/>
  <c r="W13" i="6" s="1"/>
  <c r="U182" i="6"/>
  <c r="V182" i="6" s="1"/>
  <c r="W182" i="6" s="1"/>
  <c r="U46" i="6"/>
  <c r="V46" i="6" s="1"/>
  <c r="W46" i="6" s="1"/>
  <c r="U81" i="6"/>
  <c r="V81" i="6" s="1"/>
  <c r="W81" i="6" s="1"/>
  <c r="U108" i="6"/>
  <c r="V108" i="6" s="1"/>
  <c r="W108" i="6" s="1"/>
  <c r="U171" i="6"/>
  <c r="V171" i="6" s="1"/>
  <c r="W171" i="6" s="1"/>
  <c r="U115" i="6"/>
  <c r="V115" i="6" s="1"/>
  <c r="W115" i="6" s="1"/>
  <c r="U256" i="6"/>
  <c r="V256" i="6" s="1"/>
  <c r="W256" i="6" s="1"/>
  <c r="U29" i="6"/>
  <c r="V29" i="6" s="1"/>
  <c r="W29" i="6" s="1"/>
  <c r="U54" i="6"/>
  <c r="V54" i="6" s="1"/>
  <c r="W54" i="6" s="1"/>
  <c r="U66" i="6"/>
  <c r="V66" i="6" s="1"/>
  <c r="W66" i="6" s="1"/>
  <c r="U274" i="6"/>
  <c r="V274" i="6" s="1"/>
  <c r="W274" i="6" s="1"/>
  <c r="U48" i="6"/>
  <c r="V48" i="6" s="1"/>
  <c r="W48" i="6" s="1"/>
  <c r="U308" i="6"/>
  <c r="V308" i="6" s="1"/>
  <c r="W308" i="6" s="1"/>
  <c r="U205" i="6"/>
  <c r="V205" i="6" s="1"/>
  <c r="W205" i="6" s="1"/>
  <c r="U102" i="6"/>
  <c r="V102" i="6" s="1"/>
  <c r="W102" i="6" s="1"/>
  <c r="U22" i="6"/>
  <c r="V22" i="6" s="1"/>
  <c r="W22" i="6" s="1"/>
  <c r="U15" i="6"/>
  <c r="V15" i="6" s="1"/>
  <c r="W15" i="6" s="1"/>
  <c r="U280" i="6"/>
  <c r="V280" i="6" s="1"/>
  <c r="W280" i="6" s="1"/>
  <c r="U201" i="6"/>
  <c r="V201" i="6" s="1"/>
  <c r="W201" i="6" s="1"/>
  <c r="U235" i="6"/>
  <c r="V235" i="6" s="1"/>
  <c r="W235" i="6" s="1"/>
  <c r="U234" i="6"/>
  <c r="V234" i="6" s="1"/>
  <c r="W234" i="6" s="1"/>
  <c r="U231" i="6"/>
  <c r="V231" i="6" s="1"/>
  <c r="W231" i="6" s="1"/>
  <c r="U19" i="6"/>
  <c r="V19" i="6" s="1"/>
  <c r="W19" i="6" s="1"/>
  <c r="U167" i="6"/>
  <c r="V167" i="6" s="1"/>
  <c r="W167" i="6" s="1"/>
  <c r="U3" i="6"/>
  <c r="V3" i="6" s="1"/>
  <c r="W3" i="6" s="1"/>
  <c r="U244" i="6"/>
  <c r="V244" i="6" s="1"/>
  <c r="W244" i="6" s="1"/>
  <c r="U292" i="6"/>
  <c r="V292" i="6" s="1"/>
  <c r="W292" i="6" s="1"/>
  <c r="U287" i="6"/>
  <c r="V287" i="6" s="1"/>
  <c r="W287" i="6" s="1"/>
  <c r="U275" i="6"/>
  <c r="V275" i="6" s="1"/>
  <c r="W275" i="6" s="1"/>
  <c r="U304" i="6"/>
  <c r="V304" i="6" s="1"/>
  <c r="W304" i="6" s="1"/>
  <c r="U141" i="6"/>
  <c r="V141" i="6" s="1"/>
  <c r="W141" i="6" s="1"/>
  <c r="U298" i="6"/>
  <c r="V298" i="6" s="1"/>
  <c r="W298" i="6" s="1"/>
  <c r="U49" i="6"/>
  <c r="V49" i="6" s="1"/>
  <c r="W49" i="6" s="1"/>
  <c r="U215" i="6"/>
  <c r="V215" i="6" s="1"/>
  <c r="W215" i="6" s="1"/>
  <c r="U227" i="6"/>
  <c r="V227" i="6" s="1"/>
  <c r="W227" i="6" s="1"/>
  <c r="U178" i="6"/>
  <c r="V178" i="6" s="1"/>
  <c r="W178" i="6" s="1"/>
  <c r="U97" i="6"/>
  <c r="V97" i="6" s="1"/>
  <c r="W97" i="6" s="1"/>
  <c r="U242" i="6"/>
  <c r="V242" i="6" s="1"/>
  <c r="W242" i="6" s="1"/>
  <c r="U78" i="6"/>
  <c r="V78" i="6" s="1"/>
  <c r="W78" i="6" s="1"/>
  <c r="U251" i="6"/>
  <c r="V251" i="6" s="1"/>
  <c r="W251" i="6" s="1"/>
  <c r="U63" i="6"/>
  <c r="V63" i="6" s="1"/>
  <c r="W63" i="6" s="1"/>
  <c r="U129" i="6"/>
  <c r="V129" i="6" s="1"/>
  <c r="W129" i="6" s="1"/>
  <c r="U131" i="6"/>
  <c r="V131" i="6" s="1"/>
  <c r="W131" i="6" s="1"/>
  <c r="U135" i="6"/>
  <c r="V135" i="6" s="1"/>
  <c r="W135" i="6" s="1"/>
  <c r="U95" i="6"/>
  <c r="V95" i="6" s="1"/>
  <c r="W95" i="6" s="1"/>
  <c r="U59" i="6"/>
  <c r="V59" i="6" s="1"/>
  <c r="W59" i="6" s="1"/>
  <c r="U38" i="6"/>
  <c r="V38" i="6" s="1"/>
  <c r="W38" i="6" s="1"/>
  <c r="U200" i="6"/>
  <c r="V200" i="6" s="1"/>
  <c r="W200" i="6" s="1"/>
  <c r="U196" i="6"/>
  <c r="V196" i="6" s="1"/>
  <c r="W196" i="6" s="1"/>
  <c r="U225" i="6"/>
  <c r="V225" i="6" s="1"/>
  <c r="W225" i="6" s="1"/>
  <c r="U303" i="6"/>
  <c r="V303" i="6" s="1"/>
  <c r="W303" i="6" s="1"/>
  <c r="U56" i="6"/>
  <c r="V56" i="6" s="1"/>
  <c r="W56" i="6" s="1"/>
  <c r="U98" i="6"/>
  <c r="V98" i="6" s="1"/>
  <c r="W98" i="6" s="1"/>
  <c r="U266" i="6"/>
  <c r="V266" i="6" s="1"/>
  <c r="W266" i="6" s="1"/>
  <c r="U209" i="6"/>
  <c r="V209" i="6" s="1"/>
  <c r="W209" i="6" s="1"/>
  <c r="U55" i="6"/>
  <c r="V55" i="6" s="1"/>
  <c r="W55" i="6" s="1"/>
  <c r="U232" i="6"/>
  <c r="V232" i="6" s="1"/>
  <c r="W232" i="6" s="1"/>
  <c r="U88" i="6"/>
  <c r="V88" i="6" s="1"/>
  <c r="W88" i="6" s="1"/>
  <c r="U33" i="6"/>
  <c r="V33" i="6" s="1"/>
  <c r="W33" i="6" s="1"/>
  <c r="U34" i="6"/>
  <c r="V34" i="6" s="1"/>
  <c r="W34" i="6" s="1"/>
  <c r="U27" i="6"/>
  <c r="V27" i="6" s="1"/>
  <c r="W27" i="6" s="1"/>
  <c r="U91" i="6"/>
  <c r="V91" i="6" s="1"/>
  <c r="W91" i="6" s="1"/>
  <c r="U109" i="6"/>
  <c r="V109" i="6" s="1"/>
  <c r="W109" i="6" s="1"/>
  <c r="U203" i="6"/>
  <c r="V203" i="6" s="1"/>
  <c r="W203" i="6" s="1"/>
  <c r="U75" i="6"/>
  <c r="V75" i="6" s="1"/>
  <c r="W75" i="6" s="1"/>
  <c r="U294" i="6"/>
  <c r="V294" i="6" s="1"/>
  <c r="W294" i="6" s="1"/>
  <c r="U162" i="6"/>
  <c r="V162" i="6" s="1"/>
  <c r="W162" i="6" s="1"/>
  <c r="U307" i="6"/>
  <c r="V307" i="6" s="1"/>
  <c r="W307" i="6" s="1"/>
  <c r="U149" i="6"/>
  <c r="V149" i="6" s="1"/>
  <c r="W149" i="6" s="1"/>
  <c r="U84" i="6"/>
  <c r="V84" i="6" s="1"/>
  <c r="W84" i="6" s="1"/>
  <c r="U50" i="6"/>
  <c r="V50" i="6" s="1"/>
  <c r="W50" i="6" s="1"/>
  <c r="U145" i="6"/>
  <c r="V145" i="6" s="1"/>
  <c r="W145" i="6" s="1"/>
  <c r="U61" i="6"/>
  <c r="V61" i="6" s="1"/>
  <c r="W61" i="6" s="1"/>
  <c r="U31" i="6"/>
  <c r="V31" i="6" s="1"/>
  <c r="W31" i="6" s="1"/>
  <c r="U239" i="6"/>
  <c r="V239" i="6" s="1"/>
  <c r="W239" i="6" s="1"/>
  <c r="U241" i="6"/>
  <c r="V241" i="6" s="1"/>
  <c r="W241" i="6" s="1"/>
  <c r="U36" i="6"/>
  <c r="V36" i="6" s="1"/>
  <c r="W36" i="6" s="1"/>
  <c r="U76" i="6"/>
  <c r="V76" i="6" s="1"/>
  <c r="W76" i="6" s="1"/>
  <c r="U229" i="6"/>
  <c r="V229" i="6" s="1"/>
  <c r="W229" i="6" s="1"/>
  <c r="U110" i="6"/>
  <c r="V110" i="6" s="1"/>
  <c r="W110" i="6" s="1"/>
  <c r="U175" i="6"/>
  <c r="V175" i="6" s="1"/>
  <c r="W175" i="6" s="1"/>
  <c r="U202" i="6"/>
  <c r="V202" i="6" s="1"/>
  <c r="W202" i="6" s="1"/>
  <c r="U134" i="6"/>
  <c r="V134" i="6" s="1"/>
  <c r="W134" i="6" s="1"/>
  <c r="U228" i="6"/>
  <c r="V228" i="6" s="1"/>
  <c r="W228" i="6" s="1"/>
  <c r="U107" i="6"/>
  <c r="V107" i="6" s="1"/>
  <c r="W107" i="6" s="1"/>
  <c r="U211" i="6"/>
  <c r="V211" i="6" s="1"/>
  <c r="W211" i="6" s="1"/>
  <c r="U279" i="6"/>
  <c r="V279" i="6" s="1"/>
  <c r="W279" i="6" s="1"/>
  <c r="U319" i="6"/>
  <c r="V319" i="6" s="1"/>
  <c r="W319" i="6" s="1"/>
  <c r="U42" i="6"/>
  <c r="V42" i="6" s="1"/>
  <c r="W42" i="6" s="1"/>
  <c r="U71" i="6"/>
  <c r="V71" i="6" s="1"/>
  <c r="W71" i="6" s="1"/>
  <c r="U243" i="6"/>
  <c r="V243" i="6" s="1"/>
  <c r="W243" i="6" s="1"/>
  <c r="U240" i="6"/>
  <c r="V240" i="6" s="1"/>
  <c r="W240" i="6" s="1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T2" i="3"/>
  <c r="S2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Q2" i="3"/>
  <c r="P2" i="3"/>
  <c r="O2" i="3"/>
</calcChain>
</file>

<file path=xl/sharedStrings.xml><?xml version="1.0" encoding="utf-8"?>
<sst xmlns="http://schemas.openxmlformats.org/spreadsheetml/2006/main" count="4214" uniqueCount="160">
  <si>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</si>
  <si>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</si>
  <si>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</si>
  <si>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</si>
  <si>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</si>
  <si>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</si>
  <si>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</si>
  <si>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</si>
  <si>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</si>
  <si>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</si>
  <si>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</si>
  <si>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</si>
  <si>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</si>
  <si>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</si>
  <si>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</si>
  <si>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</si>
  <si>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</si>
  <si>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</si>
  <si>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</si>
  <si>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</si>
  <si>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</si>
  <si>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</si>
  <si>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</si>
  <si>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</si>
  <si>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</si>
  <si>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</si>
  <si>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</si>
  <si>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</si>
  <si>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</si>
  <si>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</si>
  <si>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</si>
  <si>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</si>
  <si>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</si>
  <si>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</si>
  <si>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</si>
  <si>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</si>
  <si>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</si>
  <si>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</si>
  <si>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</si>
  <si>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</si>
  <si>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</si>
  <si>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</si>
  <si>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</si>
  <si>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</si>
  <si>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</si>
  <si>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</si>
  <si>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</si>
  <si>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</si>
  <si>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</si>
  <si>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</si>
  <si>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</si>
  <si>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</si>
  <si>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</si>
  <si>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</si>
  <si>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</si>
  <si>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</si>
  <si>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</si>
  <si>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</si>
  <si>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</si>
  <si>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</si>
  <si>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</si>
  <si>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</si>
  <si>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</si>
  <si>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</si>
  <si>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</si>
  <si>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</si>
  <si>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</si>
  <si>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</si>
  <si>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</si>
  <si>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</si>
  <si>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</si>
  <si>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</si>
  <si>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</si>
  <si>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</si>
  <si>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</si>
  <si>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</si>
  <si>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</si>
  <si>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</si>
  <si>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</si>
  <si>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</si>
  <si>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</si>
  <si>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</si>
  <si>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</si>
  <si>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</si>
  <si>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</si>
  <si>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</si>
  <si>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</si>
  <si>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</si>
  <si>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</si>
  <si>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</si>
  <si>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</si>
  <si>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</si>
  <si>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</si>
  <si>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</si>
  <si>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</si>
  <si>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</si>
  <si>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</si>
  <si>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</si>
  <si>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</si>
  <si>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</si>
  <si>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</si>
  <si>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</si>
  <si>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Outliers</t>
  </si>
  <si>
    <t>inventory</t>
  </si>
  <si>
    <t>Cleaning Summary</t>
  </si>
  <si>
    <t>Check</t>
  </si>
  <si>
    <t>Result</t>
  </si>
  <si>
    <t>Missing Values</t>
  </si>
  <si>
    <r>
      <t xml:space="preserve">competitor_distance_km = </t>
    </r>
    <r>
      <rPr>
        <b/>
        <sz val="11"/>
        <color theme="1"/>
        <rFont val="Mangal"/>
        <family val="2"/>
        <scheme val="minor"/>
      </rPr>
      <t>6</t>
    </r>
    <r>
      <rPr>
        <sz val="11"/>
        <color theme="1"/>
        <rFont val="Mangal"/>
        <family val="2"/>
        <scheme val="minor"/>
      </rPr>
      <t xml:space="preserve">, customer_rating = </t>
    </r>
    <r>
      <rPr>
        <b/>
        <sz val="11"/>
        <color theme="1"/>
        <rFont val="Mangal"/>
        <family val="2"/>
        <scheme val="minor"/>
      </rPr>
      <t>8</t>
    </r>
  </si>
  <si>
    <t>Duplicate Records</t>
  </si>
  <si>
    <t>No duplicate records found</t>
  </si>
  <si>
    <t>Invalid Binary Values</t>
  </si>
  <si>
    <t>holiday_flag contains only valid values (0 and 1)</t>
  </si>
  <si>
    <r>
      <t xml:space="preserve">marketing_spend = </t>
    </r>
    <r>
      <rPr>
        <b/>
        <sz val="11"/>
        <color theme="1"/>
        <rFont val="Mangal"/>
        <family val="2"/>
        <scheme val="minor"/>
      </rPr>
      <t>6</t>
    </r>
    <r>
      <rPr>
        <sz val="11"/>
        <color theme="1"/>
        <rFont val="Mangal"/>
        <family val="2"/>
        <scheme val="minor"/>
      </rPr>
      <t xml:space="preserve">, footfall = </t>
    </r>
    <r>
      <rPr>
        <b/>
        <sz val="11"/>
        <color theme="1"/>
        <rFont val="Mangal"/>
        <family val="2"/>
        <scheme val="minor"/>
      </rPr>
      <t>0</t>
    </r>
    <r>
      <rPr>
        <sz val="11"/>
        <color theme="1"/>
        <rFont val="Mangal"/>
        <family val="2"/>
        <scheme val="minor"/>
      </rPr>
      <t xml:space="preserve">, avg_discount_pct = </t>
    </r>
    <r>
      <rPr>
        <b/>
        <sz val="11"/>
        <color theme="1"/>
        <rFont val="Mangal"/>
        <family val="2"/>
        <scheme val="minor"/>
      </rPr>
      <t>0</t>
    </r>
    <r>
      <rPr>
        <sz val="11"/>
        <color theme="1"/>
        <rFont val="Mangal"/>
        <family val="2"/>
        <scheme val="minor"/>
      </rPr>
      <t xml:space="preserve">, staff_count = </t>
    </r>
    <r>
      <rPr>
        <b/>
        <sz val="11"/>
        <color theme="1"/>
        <rFont val="Mangal"/>
        <family val="2"/>
        <scheme val="minor"/>
      </rPr>
      <t>1</t>
    </r>
    <r>
      <rPr>
        <sz val="11"/>
        <color theme="1"/>
        <rFont val="Mangal"/>
        <family val="2"/>
        <scheme val="minor"/>
      </rPr>
      <t xml:space="preserve">, inventory_availability_pct = </t>
    </r>
    <r>
      <rPr>
        <b/>
        <sz val="11"/>
        <color theme="1"/>
        <rFont val="Mangal"/>
        <family val="2"/>
        <scheme val="minor"/>
      </rPr>
      <t>7</t>
    </r>
    <r>
      <rPr>
        <sz val="11"/>
        <color theme="1"/>
        <rFont val="Mangal"/>
        <family val="2"/>
        <scheme val="minor"/>
      </rPr>
      <t xml:space="preserve">, competitor_distance_km = </t>
    </r>
    <r>
      <rPr>
        <b/>
        <sz val="11"/>
        <color theme="1"/>
        <rFont val="Mangal"/>
        <family val="2"/>
        <scheme val="minor"/>
      </rPr>
      <t>14</t>
    </r>
    <r>
      <rPr>
        <sz val="11"/>
        <color theme="1"/>
        <rFont val="Mangal"/>
        <family val="2"/>
        <scheme val="minor"/>
      </rPr>
      <t xml:space="preserve">, customer_rating = </t>
    </r>
    <r>
      <rPr>
        <b/>
        <sz val="11"/>
        <color theme="1"/>
        <rFont val="Mangal"/>
        <family val="2"/>
        <scheme val="minor"/>
      </rPr>
      <t>8</t>
    </r>
    <r>
      <rPr>
        <sz val="11"/>
        <color theme="1"/>
        <rFont val="Mangal"/>
        <family val="2"/>
        <scheme val="minor"/>
      </rPr>
      <t xml:space="preserve">, monthly_sales = </t>
    </r>
    <r>
      <rPr>
        <b/>
        <sz val="11"/>
        <color theme="1"/>
        <rFont val="Mangal"/>
        <family val="2"/>
        <scheme val="minor"/>
      </rPr>
      <t>0</t>
    </r>
    <r>
      <rPr>
        <sz val="11"/>
        <color theme="1"/>
        <rFont val="Mangal"/>
        <family val="2"/>
        <scheme val="minor"/>
      </rPr>
      <t xml:space="preserve">, monthly_profit = </t>
    </r>
    <r>
      <rPr>
        <b/>
        <sz val="11"/>
        <color theme="1"/>
        <rFont val="Mangal"/>
        <family val="2"/>
        <scheme val="minor"/>
      </rPr>
      <t>1</t>
    </r>
  </si>
  <si>
    <t>high_street</t>
  </si>
  <si>
    <t>mall</t>
  </si>
  <si>
    <t>airport</t>
  </si>
  <si>
    <t>south</t>
  </si>
  <si>
    <t>east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</si>
  <si>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</si>
  <si>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</si>
  <si>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</si>
  <si>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</si>
  <si>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</si>
  <si>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</si>
  <si>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</si>
  <si>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</si>
  <si>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</si>
  <si>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</si>
  <si>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</si>
  <si>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</si>
  <si>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</si>
  <si>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</si>
  <si>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</si>
  <si>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</si>
  <si>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</si>
  <si>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</si>
  <si>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</si>
  <si>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</si>
  <si>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</si>
  <si>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</si>
  <si>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</si>
  <si>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</si>
  <si>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</si>
  <si>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</si>
  <si>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</si>
  <si>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</si>
  <si>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Predicted Sales</t>
  </si>
  <si>
    <t>Residual²</t>
  </si>
  <si>
    <t>Model</t>
  </si>
  <si>
    <t>R²</t>
  </si>
  <si>
    <t>Adjusted R²</t>
  </si>
  <si>
    <t>Marketing spend</t>
  </si>
  <si>
    <t>Footfall</t>
  </si>
  <si>
    <t>Avg discount</t>
  </si>
  <si>
    <t>Staff count</t>
  </si>
  <si>
    <t>Competitor distance</t>
  </si>
  <si>
    <t>Holiday flag</t>
  </si>
  <si>
    <t>Customer Rating</t>
  </si>
  <si>
    <t>Multiple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</si>
</sst>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6">
    <font>
      <sz val="11"/>
      <color theme="1"/>
      <name val="Mangal"/>
      <family val="2"/>
      <scheme val="minor"/>
    </font>
    <font>
      <b/>
      <sz val="11"/>
      <color rgb="FFFFFFFF"/>
      <name val="Carlito"/>
    </font>
    <font>
      <b/>
      <sz val="11"/>
      <color theme="1"/>
      <name val="Mangal"/>
      <family val="2"/>
      <scheme val="minor"/>
    </font>
    <font>
      <sz val="11"/>
      <color theme="1"/>
      <name val="Mangal"/>
      <family val="1"/>
      <scheme val="minor"/>
    </font>
    <font>
      <sz val="14"/>
      <color theme="0"/>
      <name val="Mangal"/>
      <family val="2"/>
      <scheme val="minor"/>
    </font>
    <font>
      <i/>
      <sz val="11"/>
      <color theme="1"/>
      <name val="Mang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0" fontId="0" fillId="0" borderId="3" xfId="0" applyBorder="1"/>
    <xf numFmtId="0" fontId="5" fillId="0" borderId="3" xfId="0" applyFont="1" applyBorder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4C278B-3DEB-4A5E-9681-0940024CAA53}" name="Table2" displayName="Table2" ref="R4:S8" totalsRowShown="0">
  <autoFilter ref="R4:S8" xr:uid="{AF4C278B-3DEB-4A5E-9681-0940024CAA53}"/>
  <tableColumns count="2">
    <tableColumn id="1" xr3:uid="{F6817EEE-3F9E-41C0-970C-AAD62AB831E8}" name="Check"/>
    <tableColumn id="2" xr3:uid="{1A2D82FA-3473-4C7A-9850-3E08C6777657}" name="Result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>
      <selection activeCell="C3" sqref="C3"/>
    </sheetView>
  </sheetViews>
  <sheetFormatPr defaultRowHeight="24"/>
  <cols>
    <col min="1" max="1" width="9.09765625" bestFit="1" customWidth="1"/>
    <col min="2" max="2" width="10" customWidth="1"/>
    <col min="4" max="4" width="11.19921875" customWidth="1"/>
    <col min="5" max="5" width="10.3984375" customWidth="1"/>
    <col min="7" max="7" width="17" customWidth="1"/>
    <col min="8" max="8" width="12.09765625" customWidth="1"/>
    <col min="9" max="9" width="10.796875" customWidth="1"/>
    <col min="10" max="10" width="20" customWidth="1"/>
    <col min="11" max="11" width="13" customWidth="1"/>
    <col min="12" max="12" width="17.19921875" customWidth="1"/>
    <col min="13" max="13" width="14.296875" customWidth="1"/>
    <col min="14" max="14" width="13.59765625" customWidth="1"/>
  </cols>
  <sheetData>
    <row r="1" spans="1:14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autoFilter ref="A1:N3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09E5-D0B5-485E-B428-93B3F2DEDC0A}">
  <dimension ref="A1:S321"/>
  <sheetViews>
    <sheetView zoomScale="91" workbookViewId="0">
      <selection activeCell="P6" sqref="P6"/>
    </sheetView>
  </sheetViews>
  <sheetFormatPr defaultRowHeight="24"/>
  <cols>
    <col min="1" max="1" width="9.09765625" bestFit="1" customWidth="1"/>
    <col min="2" max="2" width="10" customWidth="1"/>
    <col min="4" max="4" width="11.19921875" customWidth="1"/>
    <col min="5" max="5" width="10.3984375" customWidth="1"/>
    <col min="7" max="7" width="17" customWidth="1"/>
    <col min="8" max="8" width="12.09765625" customWidth="1"/>
    <col min="9" max="9" width="10.796875" customWidth="1"/>
    <col min="10" max="10" width="20" customWidth="1"/>
    <col min="11" max="11" width="13" customWidth="1"/>
    <col min="12" max="12" width="17.19921875" customWidth="1"/>
    <col min="13" max="13" width="14.296875" customWidth="1"/>
    <col min="14" max="14" width="13.59765625" customWidth="1"/>
    <col min="18" max="18" width="20.796875" customWidth="1"/>
    <col min="19" max="19" width="177.59765625" customWidth="1"/>
  </cols>
  <sheetData>
    <row r="1" spans="1:19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9" ht="30.6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R2" s="12" t="s">
        <v>104</v>
      </c>
      <c r="S2" s="12"/>
    </row>
    <row r="3" spans="1:19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9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R4" s="3" t="s">
        <v>105</v>
      </c>
      <c r="S4" s="3" t="s">
        <v>106</v>
      </c>
    </row>
    <row r="5" spans="1:19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R5" s="4" t="s">
        <v>107</v>
      </c>
      <c r="S5" t="s">
        <v>108</v>
      </c>
    </row>
    <row r="6" spans="1:19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R6" s="4" t="s">
        <v>109</v>
      </c>
      <c r="S6" s="6" t="s">
        <v>110</v>
      </c>
    </row>
    <row r="7" spans="1:19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R7" s="4" t="s">
        <v>111</v>
      </c>
      <c r="S7" t="s">
        <v>112</v>
      </c>
    </row>
    <row r="8" spans="1:19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R8" s="4" t="s">
        <v>102</v>
      </c>
      <c r="S8" s="5" t="s">
        <v>113</v>
      </c>
    </row>
    <row r="9" spans="1:19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9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9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9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9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9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9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9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3.3650000000000002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3.3650000000000002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3.3650000000000002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3.3650000000000002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3.3650000000000002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3.3650000000000002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mergeCells count="1">
    <mergeCell ref="R2:S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151F0-2905-4745-92F0-4ACDAC61E123}">
  <dimension ref="A1:T321"/>
  <sheetViews>
    <sheetView topLeftCell="A307" workbookViewId="0">
      <selection sqref="A1:T321"/>
    </sheetView>
  </sheetViews>
  <sheetFormatPr defaultRowHeight="24"/>
  <sheetData>
    <row r="1" spans="1:20" ht="5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114</v>
      </c>
      <c r="P1" s="1" t="s">
        <v>115</v>
      </c>
      <c r="Q1" s="1" t="s">
        <v>116</v>
      </c>
      <c r="R1" s="1" t="s">
        <v>20</v>
      </c>
      <c r="S1" s="1" t="s">
        <v>117</v>
      </c>
      <c r="T1" s="1" t="s">
        <v>118</v>
      </c>
    </row>
    <row r="2" spans="1:20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O2">
        <f>IF($D2="High Street",1,0)</f>
        <v>0</v>
      </c>
      <c r="P2">
        <f>IF($D2="Mall",1,0)</f>
        <v>0</v>
      </c>
      <c r="Q2">
        <f>IF($D2="Airport",1,0)</f>
        <v>0</v>
      </c>
      <c r="R2">
        <f>IF($C2="North",1,0)</f>
        <v>0</v>
      </c>
      <c r="S2">
        <f>IF($C2="South",1,0)</f>
        <v>0</v>
      </c>
      <c r="T2">
        <f>IF($C2="East",1,0)</f>
        <v>1</v>
      </c>
    </row>
    <row r="3" spans="1:20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>
        <f t="shared" ref="O3:O66" si="0">IF($D3="High Street",1,0)</f>
        <v>0</v>
      </c>
      <c r="P3">
        <f t="shared" ref="P3:P66" si="1">IF($D3="Mall",1,0)</f>
        <v>0</v>
      </c>
      <c r="Q3">
        <f t="shared" ref="Q3:Q66" si="2">IF($D3="Airport",1,0)</f>
        <v>0</v>
      </c>
      <c r="R3">
        <f t="shared" ref="R3:R66" si="3">IF($C3="North",1,0)</f>
        <v>0</v>
      </c>
      <c r="S3">
        <f t="shared" ref="S3:S66" si="4">IF($C3="South",1,0)</f>
        <v>0</v>
      </c>
      <c r="T3">
        <f t="shared" ref="T3:T66" si="5">IF($C3="East",1,0)</f>
        <v>1</v>
      </c>
    </row>
    <row r="4" spans="1:20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O4">
        <f t="shared" si="0"/>
        <v>0</v>
      </c>
      <c r="P4">
        <f t="shared" si="1"/>
        <v>0</v>
      </c>
      <c r="Q4">
        <f t="shared" si="2"/>
        <v>0</v>
      </c>
      <c r="R4">
        <f t="shared" si="3"/>
        <v>0</v>
      </c>
      <c r="S4">
        <f t="shared" si="4"/>
        <v>0</v>
      </c>
      <c r="T4">
        <f t="shared" si="5"/>
        <v>1</v>
      </c>
    </row>
    <row r="5" spans="1:20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O5">
        <f t="shared" si="0"/>
        <v>0</v>
      </c>
      <c r="P5">
        <f t="shared" si="1"/>
        <v>0</v>
      </c>
      <c r="Q5">
        <f t="shared" si="2"/>
        <v>0</v>
      </c>
      <c r="R5">
        <f t="shared" si="3"/>
        <v>0</v>
      </c>
      <c r="S5">
        <f t="shared" si="4"/>
        <v>0</v>
      </c>
      <c r="T5">
        <f t="shared" si="5"/>
        <v>1</v>
      </c>
    </row>
    <row r="6" spans="1:20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O6">
        <f t="shared" si="0"/>
        <v>1</v>
      </c>
      <c r="P6">
        <f t="shared" si="1"/>
        <v>0</v>
      </c>
      <c r="Q6">
        <f t="shared" si="2"/>
        <v>0</v>
      </c>
      <c r="R6">
        <f t="shared" si="3"/>
        <v>0</v>
      </c>
      <c r="S6">
        <f t="shared" si="4"/>
        <v>0</v>
      </c>
      <c r="T6">
        <f t="shared" si="5"/>
        <v>1</v>
      </c>
    </row>
    <row r="7" spans="1:20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O7">
        <f t="shared" si="0"/>
        <v>1</v>
      </c>
      <c r="P7">
        <f t="shared" si="1"/>
        <v>0</v>
      </c>
      <c r="Q7">
        <f t="shared" si="2"/>
        <v>0</v>
      </c>
      <c r="R7">
        <f t="shared" si="3"/>
        <v>0</v>
      </c>
      <c r="S7">
        <f t="shared" si="4"/>
        <v>0</v>
      </c>
      <c r="T7">
        <f t="shared" si="5"/>
        <v>1</v>
      </c>
    </row>
    <row r="8" spans="1:20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O8">
        <f t="shared" si="0"/>
        <v>1</v>
      </c>
      <c r="P8">
        <f t="shared" si="1"/>
        <v>0</v>
      </c>
      <c r="Q8">
        <f t="shared" si="2"/>
        <v>0</v>
      </c>
      <c r="R8">
        <f t="shared" si="3"/>
        <v>0</v>
      </c>
      <c r="S8">
        <f t="shared" si="4"/>
        <v>0</v>
      </c>
      <c r="T8">
        <f t="shared" si="5"/>
        <v>1</v>
      </c>
    </row>
    <row r="9" spans="1:20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O9">
        <f t="shared" si="0"/>
        <v>1</v>
      </c>
      <c r="P9">
        <f t="shared" si="1"/>
        <v>0</v>
      </c>
      <c r="Q9">
        <f t="shared" si="2"/>
        <v>0</v>
      </c>
      <c r="R9">
        <f t="shared" si="3"/>
        <v>0</v>
      </c>
      <c r="S9">
        <f t="shared" si="4"/>
        <v>0</v>
      </c>
      <c r="T9">
        <f t="shared" si="5"/>
        <v>1</v>
      </c>
    </row>
    <row r="10" spans="1:20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O10">
        <f t="shared" si="0"/>
        <v>0</v>
      </c>
      <c r="P10">
        <f t="shared" si="1"/>
        <v>0</v>
      </c>
      <c r="Q10">
        <f t="shared" si="2"/>
        <v>1</v>
      </c>
      <c r="R10">
        <f t="shared" si="3"/>
        <v>1</v>
      </c>
      <c r="S10">
        <f t="shared" si="4"/>
        <v>0</v>
      </c>
      <c r="T10">
        <f t="shared" si="5"/>
        <v>0</v>
      </c>
    </row>
    <row r="11" spans="1:20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O11">
        <f t="shared" si="0"/>
        <v>0</v>
      </c>
      <c r="P11">
        <f t="shared" si="1"/>
        <v>0</v>
      </c>
      <c r="Q11">
        <f t="shared" si="2"/>
        <v>1</v>
      </c>
      <c r="R11">
        <f t="shared" si="3"/>
        <v>1</v>
      </c>
      <c r="S11">
        <f t="shared" si="4"/>
        <v>0</v>
      </c>
      <c r="T11">
        <f t="shared" si="5"/>
        <v>0</v>
      </c>
    </row>
    <row r="12" spans="1:20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O12">
        <f t="shared" si="0"/>
        <v>0</v>
      </c>
      <c r="P12">
        <f t="shared" si="1"/>
        <v>0</v>
      </c>
      <c r="Q12">
        <f t="shared" si="2"/>
        <v>1</v>
      </c>
      <c r="R12">
        <f t="shared" si="3"/>
        <v>1</v>
      </c>
      <c r="S12">
        <f t="shared" si="4"/>
        <v>0</v>
      </c>
      <c r="T12">
        <f t="shared" si="5"/>
        <v>0</v>
      </c>
    </row>
    <row r="13" spans="1:20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O13">
        <f t="shared" si="0"/>
        <v>0</v>
      </c>
      <c r="P13">
        <f t="shared" si="1"/>
        <v>0</v>
      </c>
      <c r="Q13">
        <f t="shared" si="2"/>
        <v>1</v>
      </c>
      <c r="R13">
        <f t="shared" si="3"/>
        <v>1</v>
      </c>
      <c r="S13">
        <f t="shared" si="4"/>
        <v>0</v>
      </c>
      <c r="T13">
        <f t="shared" si="5"/>
        <v>0</v>
      </c>
    </row>
    <row r="14" spans="1:20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O14">
        <f t="shared" si="0"/>
        <v>0</v>
      </c>
      <c r="P14">
        <f t="shared" si="1"/>
        <v>0</v>
      </c>
      <c r="Q14">
        <f t="shared" si="2"/>
        <v>0</v>
      </c>
      <c r="R14">
        <f t="shared" si="3"/>
        <v>0</v>
      </c>
      <c r="S14">
        <f t="shared" si="4"/>
        <v>0</v>
      </c>
      <c r="T14">
        <f t="shared" si="5"/>
        <v>1</v>
      </c>
    </row>
    <row r="15" spans="1:20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O15">
        <f t="shared" si="0"/>
        <v>0</v>
      </c>
      <c r="P15">
        <f t="shared" si="1"/>
        <v>0</v>
      </c>
      <c r="Q15">
        <f t="shared" si="2"/>
        <v>0</v>
      </c>
      <c r="R15">
        <f t="shared" si="3"/>
        <v>0</v>
      </c>
      <c r="S15">
        <f t="shared" si="4"/>
        <v>0</v>
      </c>
      <c r="T15">
        <f t="shared" si="5"/>
        <v>1</v>
      </c>
    </row>
    <row r="16" spans="1:20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O16">
        <f t="shared" si="0"/>
        <v>0</v>
      </c>
      <c r="P16">
        <f t="shared" si="1"/>
        <v>0</v>
      </c>
      <c r="Q16">
        <f t="shared" si="2"/>
        <v>0</v>
      </c>
      <c r="R16">
        <f t="shared" si="3"/>
        <v>0</v>
      </c>
      <c r="S16">
        <f t="shared" si="4"/>
        <v>0</v>
      </c>
      <c r="T16">
        <f t="shared" si="5"/>
        <v>1</v>
      </c>
    </row>
    <row r="17" spans="1:20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O17">
        <f t="shared" si="0"/>
        <v>0</v>
      </c>
      <c r="P17">
        <f t="shared" si="1"/>
        <v>0</v>
      </c>
      <c r="Q17">
        <f t="shared" si="2"/>
        <v>0</v>
      </c>
      <c r="R17">
        <f t="shared" si="3"/>
        <v>0</v>
      </c>
      <c r="S17">
        <f t="shared" si="4"/>
        <v>0</v>
      </c>
      <c r="T17">
        <f t="shared" si="5"/>
        <v>1</v>
      </c>
    </row>
    <row r="18" spans="1:20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O18">
        <f t="shared" si="0"/>
        <v>0</v>
      </c>
      <c r="P18">
        <f t="shared" si="1"/>
        <v>0</v>
      </c>
      <c r="Q18">
        <f t="shared" si="2"/>
        <v>0</v>
      </c>
      <c r="R18">
        <f t="shared" si="3"/>
        <v>0</v>
      </c>
      <c r="S18">
        <f t="shared" si="4"/>
        <v>1</v>
      </c>
      <c r="T18">
        <f t="shared" si="5"/>
        <v>0</v>
      </c>
    </row>
    <row r="19" spans="1:20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O19">
        <f t="shared" si="0"/>
        <v>0</v>
      </c>
      <c r="P19">
        <f t="shared" si="1"/>
        <v>0</v>
      </c>
      <c r="Q19">
        <f t="shared" si="2"/>
        <v>0</v>
      </c>
      <c r="R19">
        <f t="shared" si="3"/>
        <v>0</v>
      </c>
      <c r="S19">
        <f t="shared" si="4"/>
        <v>1</v>
      </c>
      <c r="T19">
        <f t="shared" si="5"/>
        <v>0</v>
      </c>
    </row>
    <row r="20" spans="1:20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O20">
        <f t="shared" si="0"/>
        <v>0</v>
      </c>
      <c r="P20">
        <f t="shared" si="1"/>
        <v>0</v>
      </c>
      <c r="Q20">
        <f t="shared" si="2"/>
        <v>0</v>
      </c>
      <c r="R20">
        <f t="shared" si="3"/>
        <v>0</v>
      </c>
      <c r="S20">
        <f t="shared" si="4"/>
        <v>1</v>
      </c>
      <c r="T20">
        <f t="shared" si="5"/>
        <v>0</v>
      </c>
    </row>
    <row r="21" spans="1:20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O21">
        <f t="shared" si="0"/>
        <v>0</v>
      </c>
      <c r="P21">
        <f t="shared" si="1"/>
        <v>0</v>
      </c>
      <c r="Q21">
        <f t="shared" si="2"/>
        <v>0</v>
      </c>
      <c r="R21">
        <f t="shared" si="3"/>
        <v>0</v>
      </c>
      <c r="S21">
        <f t="shared" si="4"/>
        <v>1</v>
      </c>
      <c r="T21">
        <f t="shared" si="5"/>
        <v>0</v>
      </c>
    </row>
    <row r="22" spans="1:20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O22">
        <f t="shared" si="0"/>
        <v>0</v>
      </c>
      <c r="P22">
        <f t="shared" si="1"/>
        <v>0</v>
      </c>
      <c r="Q22">
        <f t="shared" si="2"/>
        <v>0</v>
      </c>
      <c r="R22">
        <f t="shared" si="3"/>
        <v>1</v>
      </c>
      <c r="S22">
        <f t="shared" si="4"/>
        <v>0</v>
      </c>
      <c r="T22">
        <f t="shared" si="5"/>
        <v>0</v>
      </c>
    </row>
    <row r="23" spans="1:20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O23">
        <f t="shared" si="0"/>
        <v>0</v>
      </c>
      <c r="P23">
        <f t="shared" si="1"/>
        <v>0</v>
      </c>
      <c r="Q23">
        <f t="shared" si="2"/>
        <v>0</v>
      </c>
      <c r="R23">
        <f t="shared" si="3"/>
        <v>1</v>
      </c>
      <c r="S23">
        <f t="shared" si="4"/>
        <v>0</v>
      </c>
      <c r="T23">
        <f t="shared" si="5"/>
        <v>0</v>
      </c>
    </row>
    <row r="24" spans="1:20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O24">
        <f t="shared" si="0"/>
        <v>0</v>
      </c>
      <c r="P24">
        <f t="shared" si="1"/>
        <v>0</v>
      </c>
      <c r="Q24">
        <f t="shared" si="2"/>
        <v>0</v>
      </c>
      <c r="R24">
        <f t="shared" si="3"/>
        <v>1</v>
      </c>
      <c r="S24">
        <f t="shared" si="4"/>
        <v>0</v>
      </c>
      <c r="T24">
        <f t="shared" si="5"/>
        <v>0</v>
      </c>
    </row>
    <row r="25" spans="1:20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O25">
        <f t="shared" si="0"/>
        <v>0</v>
      </c>
      <c r="P25">
        <f t="shared" si="1"/>
        <v>0</v>
      </c>
      <c r="Q25">
        <f t="shared" si="2"/>
        <v>0</v>
      </c>
      <c r="R25">
        <f t="shared" si="3"/>
        <v>1</v>
      </c>
      <c r="S25">
        <f t="shared" si="4"/>
        <v>0</v>
      </c>
      <c r="T25">
        <f t="shared" si="5"/>
        <v>0</v>
      </c>
    </row>
    <row r="26" spans="1:20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O26">
        <f t="shared" si="0"/>
        <v>0</v>
      </c>
      <c r="P26">
        <f t="shared" si="1"/>
        <v>1</v>
      </c>
      <c r="Q26">
        <f t="shared" si="2"/>
        <v>0</v>
      </c>
      <c r="R26">
        <f t="shared" si="3"/>
        <v>0</v>
      </c>
      <c r="S26">
        <f t="shared" si="4"/>
        <v>0</v>
      </c>
      <c r="T26">
        <f t="shared" si="5"/>
        <v>0</v>
      </c>
    </row>
    <row r="27" spans="1:20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O27">
        <f t="shared" si="0"/>
        <v>0</v>
      </c>
      <c r="P27">
        <f t="shared" si="1"/>
        <v>1</v>
      </c>
      <c r="Q27">
        <f t="shared" si="2"/>
        <v>0</v>
      </c>
      <c r="R27">
        <f t="shared" si="3"/>
        <v>0</v>
      </c>
      <c r="S27">
        <f t="shared" si="4"/>
        <v>0</v>
      </c>
      <c r="T27">
        <f t="shared" si="5"/>
        <v>0</v>
      </c>
    </row>
    <row r="28" spans="1:20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O28">
        <f t="shared" si="0"/>
        <v>0</v>
      </c>
      <c r="P28">
        <f t="shared" si="1"/>
        <v>1</v>
      </c>
      <c r="Q28">
        <f t="shared" si="2"/>
        <v>0</v>
      </c>
      <c r="R28">
        <f t="shared" si="3"/>
        <v>0</v>
      </c>
      <c r="S28">
        <f t="shared" si="4"/>
        <v>0</v>
      </c>
      <c r="T28">
        <f t="shared" si="5"/>
        <v>0</v>
      </c>
    </row>
    <row r="29" spans="1:20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O29">
        <f t="shared" si="0"/>
        <v>0</v>
      </c>
      <c r="P29">
        <f t="shared" si="1"/>
        <v>1</v>
      </c>
      <c r="Q29">
        <f t="shared" si="2"/>
        <v>0</v>
      </c>
      <c r="R29">
        <f t="shared" si="3"/>
        <v>0</v>
      </c>
      <c r="S29">
        <f t="shared" si="4"/>
        <v>0</v>
      </c>
      <c r="T29">
        <f t="shared" si="5"/>
        <v>0</v>
      </c>
    </row>
    <row r="30" spans="1:20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O30">
        <f t="shared" si="0"/>
        <v>0</v>
      </c>
      <c r="P30">
        <f t="shared" si="1"/>
        <v>0</v>
      </c>
      <c r="Q30">
        <f t="shared" si="2"/>
        <v>0</v>
      </c>
      <c r="R30">
        <f t="shared" si="3"/>
        <v>0</v>
      </c>
      <c r="S30">
        <f t="shared" si="4"/>
        <v>0</v>
      </c>
      <c r="T30">
        <f t="shared" si="5"/>
        <v>1</v>
      </c>
    </row>
    <row r="31" spans="1:20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O31">
        <f t="shared" si="0"/>
        <v>0</v>
      </c>
      <c r="P31">
        <f t="shared" si="1"/>
        <v>0</v>
      </c>
      <c r="Q31">
        <f t="shared" si="2"/>
        <v>0</v>
      </c>
      <c r="R31">
        <f t="shared" si="3"/>
        <v>0</v>
      </c>
      <c r="S31">
        <f t="shared" si="4"/>
        <v>0</v>
      </c>
      <c r="T31">
        <f t="shared" si="5"/>
        <v>1</v>
      </c>
    </row>
    <row r="32" spans="1:20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O32">
        <f t="shared" si="0"/>
        <v>0</v>
      </c>
      <c r="P32">
        <f t="shared" si="1"/>
        <v>0</v>
      </c>
      <c r="Q32">
        <f t="shared" si="2"/>
        <v>0</v>
      </c>
      <c r="R32">
        <f t="shared" si="3"/>
        <v>0</v>
      </c>
      <c r="S32">
        <f t="shared" si="4"/>
        <v>0</v>
      </c>
      <c r="T32">
        <f t="shared" si="5"/>
        <v>1</v>
      </c>
    </row>
    <row r="33" spans="1:20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O33">
        <f t="shared" si="0"/>
        <v>0</v>
      </c>
      <c r="P33">
        <f t="shared" si="1"/>
        <v>0</v>
      </c>
      <c r="Q33">
        <f t="shared" si="2"/>
        <v>0</v>
      </c>
      <c r="R33">
        <f t="shared" si="3"/>
        <v>0</v>
      </c>
      <c r="S33">
        <f t="shared" si="4"/>
        <v>0</v>
      </c>
      <c r="T33">
        <f t="shared" si="5"/>
        <v>1</v>
      </c>
    </row>
    <row r="34" spans="1:20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O34">
        <f t="shared" si="0"/>
        <v>0</v>
      </c>
      <c r="P34">
        <f t="shared" si="1"/>
        <v>0</v>
      </c>
      <c r="Q34">
        <f t="shared" si="2"/>
        <v>0</v>
      </c>
      <c r="R34">
        <f t="shared" si="3"/>
        <v>1</v>
      </c>
      <c r="S34">
        <f t="shared" si="4"/>
        <v>0</v>
      </c>
      <c r="T34">
        <f t="shared" si="5"/>
        <v>0</v>
      </c>
    </row>
    <row r="35" spans="1:20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</v>
      </c>
      <c r="M35">
        <v>799477.76000000001</v>
      </c>
      <c r="N35">
        <v>164974.41</v>
      </c>
      <c r="O35">
        <f t="shared" si="0"/>
        <v>0</v>
      </c>
      <c r="P35">
        <f t="shared" si="1"/>
        <v>0</v>
      </c>
      <c r="Q35">
        <f t="shared" si="2"/>
        <v>0</v>
      </c>
      <c r="R35">
        <f t="shared" si="3"/>
        <v>1</v>
      </c>
      <c r="S35">
        <f t="shared" si="4"/>
        <v>0</v>
      </c>
      <c r="T35">
        <f t="shared" si="5"/>
        <v>0</v>
      </c>
    </row>
    <row r="36" spans="1:20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O36">
        <f t="shared" si="0"/>
        <v>0</v>
      </c>
      <c r="P36">
        <f t="shared" si="1"/>
        <v>0</v>
      </c>
      <c r="Q36">
        <f t="shared" si="2"/>
        <v>0</v>
      </c>
      <c r="R36">
        <f t="shared" si="3"/>
        <v>1</v>
      </c>
      <c r="S36">
        <f t="shared" si="4"/>
        <v>0</v>
      </c>
      <c r="T36">
        <f t="shared" si="5"/>
        <v>0</v>
      </c>
    </row>
    <row r="37" spans="1:20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O37">
        <f t="shared" si="0"/>
        <v>0</v>
      </c>
      <c r="P37">
        <f t="shared" si="1"/>
        <v>0</v>
      </c>
      <c r="Q37">
        <f t="shared" si="2"/>
        <v>0</v>
      </c>
      <c r="R37">
        <f t="shared" si="3"/>
        <v>1</v>
      </c>
      <c r="S37">
        <f t="shared" si="4"/>
        <v>0</v>
      </c>
      <c r="T37">
        <f t="shared" si="5"/>
        <v>0</v>
      </c>
    </row>
    <row r="38" spans="1:20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O38">
        <f t="shared" si="0"/>
        <v>0</v>
      </c>
      <c r="P38">
        <f t="shared" si="1"/>
        <v>1</v>
      </c>
      <c r="Q38">
        <f t="shared" si="2"/>
        <v>0</v>
      </c>
      <c r="R38">
        <f t="shared" si="3"/>
        <v>1</v>
      </c>
      <c r="S38">
        <f t="shared" si="4"/>
        <v>0</v>
      </c>
      <c r="T38">
        <f t="shared" si="5"/>
        <v>0</v>
      </c>
    </row>
    <row r="39" spans="1:20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O39">
        <f t="shared" si="0"/>
        <v>0</v>
      </c>
      <c r="P39">
        <f t="shared" si="1"/>
        <v>1</v>
      </c>
      <c r="Q39">
        <f t="shared" si="2"/>
        <v>0</v>
      </c>
      <c r="R39">
        <f t="shared" si="3"/>
        <v>1</v>
      </c>
      <c r="S39">
        <f t="shared" si="4"/>
        <v>0</v>
      </c>
      <c r="T39">
        <f t="shared" si="5"/>
        <v>0</v>
      </c>
    </row>
    <row r="40" spans="1:20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O40">
        <f t="shared" si="0"/>
        <v>0</v>
      </c>
      <c r="P40">
        <f t="shared" si="1"/>
        <v>1</v>
      </c>
      <c r="Q40">
        <f t="shared" si="2"/>
        <v>0</v>
      </c>
      <c r="R40">
        <f t="shared" si="3"/>
        <v>1</v>
      </c>
      <c r="S40">
        <f t="shared" si="4"/>
        <v>0</v>
      </c>
      <c r="T40">
        <f t="shared" si="5"/>
        <v>0</v>
      </c>
    </row>
    <row r="41" spans="1:20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O41">
        <f t="shared" si="0"/>
        <v>0</v>
      </c>
      <c r="P41">
        <f t="shared" si="1"/>
        <v>1</v>
      </c>
      <c r="Q41">
        <f t="shared" si="2"/>
        <v>0</v>
      </c>
      <c r="R41">
        <f t="shared" si="3"/>
        <v>1</v>
      </c>
      <c r="S41">
        <f t="shared" si="4"/>
        <v>0</v>
      </c>
      <c r="T41">
        <f t="shared" si="5"/>
        <v>0</v>
      </c>
    </row>
    <row r="42" spans="1:20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O42">
        <f t="shared" si="0"/>
        <v>0</v>
      </c>
      <c r="P42">
        <f t="shared" si="1"/>
        <v>1</v>
      </c>
      <c r="Q42">
        <f t="shared" si="2"/>
        <v>0</v>
      </c>
      <c r="R42">
        <f t="shared" si="3"/>
        <v>0</v>
      </c>
      <c r="S42">
        <f t="shared" si="4"/>
        <v>0</v>
      </c>
      <c r="T42">
        <f t="shared" si="5"/>
        <v>1</v>
      </c>
    </row>
    <row r="43" spans="1:20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O43">
        <f t="shared" si="0"/>
        <v>0</v>
      </c>
      <c r="P43">
        <f t="shared" si="1"/>
        <v>1</v>
      </c>
      <c r="Q43">
        <f t="shared" si="2"/>
        <v>0</v>
      </c>
      <c r="R43">
        <f t="shared" si="3"/>
        <v>0</v>
      </c>
      <c r="S43">
        <f t="shared" si="4"/>
        <v>0</v>
      </c>
      <c r="T43">
        <f t="shared" si="5"/>
        <v>1</v>
      </c>
    </row>
    <row r="44" spans="1:20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O44">
        <f t="shared" si="0"/>
        <v>0</v>
      </c>
      <c r="P44">
        <f t="shared" si="1"/>
        <v>1</v>
      </c>
      <c r="Q44">
        <f t="shared" si="2"/>
        <v>0</v>
      </c>
      <c r="R44">
        <f t="shared" si="3"/>
        <v>0</v>
      </c>
      <c r="S44">
        <f t="shared" si="4"/>
        <v>0</v>
      </c>
      <c r="T44">
        <f t="shared" si="5"/>
        <v>1</v>
      </c>
    </row>
    <row r="45" spans="1:20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O45">
        <f t="shared" si="0"/>
        <v>0</v>
      </c>
      <c r="P45">
        <f t="shared" si="1"/>
        <v>1</v>
      </c>
      <c r="Q45">
        <f t="shared" si="2"/>
        <v>0</v>
      </c>
      <c r="R45">
        <f t="shared" si="3"/>
        <v>0</v>
      </c>
      <c r="S45">
        <f t="shared" si="4"/>
        <v>0</v>
      </c>
      <c r="T45">
        <f t="shared" si="5"/>
        <v>1</v>
      </c>
    </row>
    <row r="46" spans="1:20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O46">
        <f t="shared" si="0"/>
        <v>0</v>
      </c>
      <c r="P46">
        <f t="shared" si="1"/>
        <v>0</v>
      </c>
      <c r="Q46">
        <f t="shared" si="2"/>
        <v>0</v>
      </c>
      <c r="R46">
        <f t="shared" si="3"/>
        <v>0</v>
      </c>
      <c r="S46">
        <f t="shared" si="4"/>
        <v>0</v>
      </c>
      <c r="T46">
        <f t="shared" si="5"/>
        <v>0</v>
      </c>
    </row>
    <row r="47" spans="1:20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O47">
        <f t="shared" si="0"/>
        <v>0</v>
      </c>
      <c r="P47">
        <f t="shared" si="1"/>
        <v>0</v>
      </c>
      <c r="Q47">
        <f t="shared" si="2"/>
        <v>0</v>
      </c>
      <c r="R47">
        <f t="shared" si="3"/>
        <v>0</v>
      </c>
      <c r="S47">
        <f t="shared" si="4"/>
        <v>0</v>
      </c>
      <c r="T47">
        <f t="shared" si="5"/>
        <v>0</v>
      </c>
    </row>
    <row r="48" spans="1:20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O48">
        <f t="shared" si="0"/>
        <v>0</v>
      </c>
      <c r="P48">
        <f t="shared" si="1"/>
        <v>0</v>
      </c>
      <c r="Q48">
        <f t="shared" si="2"/>
        <v>0</v>
      </c>
      <c r="R48">
        <f t="shared" si="3"/>
        <v>0</v>
      </c>
      <c r="S48">
        <f t="shared" si="4"/>
        <v>0</v>
      </c>
      <c r="T48">
        <f t="shared" si="5"/>
        <v>0</v>
      </c>
    </row>
    <row r="49" spans="1:20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O49">
        <f t="shared" si="0"/>
        <v>0</v>
      </c>
      <c r="P49">
        <f t="shared" si="1"/>
        <v>0</v>
      </c>
      <c r="Q49">
        <f t="shared" si="2"/>
        <v>0</v>
      </c>
      <c r="R49">
        <f t="shared" si="3"/>
        <v>0</v>
      </c>
      <c r="S49">
        <f t="shared" si="4"/>
        <v>0</v>
      </c>
      <c r="T49">
        <f t="shared" si="5"/>
        <v>0</v>
      </c>
    </row>
    <row r="50" spans="1:20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O50">
        <f t="shared" si="0"/>
        <v>0</v>
      </c>
      <c r="P50">
        <f t="shared" si="1"/>
        <v>1</v>
      </c>
      <c r="Q50">
        <f t="shared" si="2"/>
        <v>0</v>
      </c>
      <c r="R50">
        <f t="shared" si="3"/>
        <v>1</v>
      </c>
      <c r="S50">
        <f t="shared" si="4"/>
        <v>0</v>
      </c>
      <c r="T50">
        <f t="shared" si="5"/>
        <v>0</v>
      </c>
    </row>
    <row r="51" spans="1:20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O51">
        <f t="shared" si="0"/>
        <v>0</v>
      </c>
      <c r="P51">
        <f t="shared" si="1"/>
        <v>1</v>
      </c>
      <c r="Q51">
        <f t="shared" si="2"/>
        <v>0</v>
      </c>
      <c r="R51">
        <f t="shared" si="3"/>
        <v>1</v>
      </c>
      <c r="S51">
        <f t="shared" si="4"/>
        <v>0</v>
      </c>
      <c r="T51">
        <f t="shared" si="5"/>
        <v>0</v>
      </c>
    </row>
    <row r="52" spans="1:20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O52">
        <f t="shared" si="0"/>
        <v>0</v>
      </c>
      <c r="P52">
        <f t="shared" si="1"/>
        <v>1</v>
      </c>
      <c r="Q52">
        <f t="shared" si="2"/>
        <v>0</v>
      </c>
      <c r="R52">
        <f t="shared" si="3"/>
        <v>1</v>
      </c>
      <c r="S52">
        <f t="shared" si="4"/>
        <v>0</v>
      </c>
      <c r="T52">
        <f t="shared" si="5"/>
        <v>0</v>
      </c>
    </row>
    <row r="53" spans="1:20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O53">
        <f t="shared" si="0"/>
        <v>0</v>
      </c>
      <c r="P53">
        <f t="shared" si="1"/>
        <v>1</v>
      </c>
      <c r="Q53">
        <f t="shared" si="2"/>
        <v>0</v>
      </c>
      <c r="R53">
        <f t="shared" si="3"/>
        <v>1</v>
      </c>
      <c r="S53">
        <f t="shared" si="4"/>
        <v>0</v>
      </c>
      <c r="T53">
        <f t="shared" si="5"/>
        <v>0</v>
      </c>
    </row>
    <row r="54" spans="1:20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>
        <f t="shared" si="0"/>
        <v>1</v>
      </c>
      <c r="P54">
        <f t="shared" si="1"/>
        <v>0</v>
      </c>
      <c r="Q54">
        <f t="shared" si="2"/>
        <v>0</v>
      </c>
      <c r="R54">
        <f t="shared" si="3"/>
        <v>0</v>
      </c>
      <c r="S54">
        <f t="shared" si="4"/>
        <v>0</v>
      </c>
      <c r="T54">
        <f t="shared" si="5"/>
        <v>0</v>
      </c>
    </row>
    <row r="55" spans="1:20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O55">
        <f t="shared" si="0"/>
        <v>1</v>
      </c>
      <c r="P55">
        <f t="shared" si="1"/>
        <v>0</v>
      </c>
      <c r="Q55">
        <f t="shared" si="2"/>
        <v>0</v>
      </c>
      <c r="R55">
        <f t="shared" si="3"/>
        <v>0</v>
      </c>
      <c r="S55">
        <f t="shared" si="4"/>
        <v>0</v>
      </c>
      <c r="T55">
        <f t="shared" si="5"/>
        <v>0</v>
      </c>
    </row>
    <row r="56" spans="1:20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O56">
        <f t="shared" si="0"/>
        <v>1</v>
      </c>
      <c r="P56">
        <f t="shared" si="1"/>
        <v>0</v>
      </c>
      <c r="Q56">
        <f t="shared" si="2"/>
        <v>0</v>
      </c>
      <c r="R56">
        <f t="shared" si="3"/>
        <v>0</v>
      </c>
      <c r="S56">
        <f t="shared" si="4"/>
        <v>0</v>
      </c>
      <c r="T56">
        <f t="shared" si="5"/>
        <v>0</v>
      </c>
    </row>
    <row r="57" spans="1:20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O57">
        <f t="shared" si="0"/>
        <v>1</v>
      </c>
      <c r="P57">
        <f t="shared" si="1"/>
        <v>0</v>
      </c>
      <c r="Q57">
        <f t="shared" si="2"/>
        <v>0</v>
      </c>
      <c r="R57">
        <f t="shared" si="3"/>
        <v>0</v>
      </c>
      <c r="S57">
        <f t="shared" si="4"/>
        <v>0</v>
      </c>
      <c r="T57">
        <f t="shared" si="5"/>
        <v>0</v>
      </c>
    </row>
    <row r="58" spans="1:20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O58">
        <f t="shared" si="0"/>
        <v>0</v>
      </c>
      <c r="P58">
        <f t="shared" si="1"/>
        <v>0</v>
      </c>
      <c r="Q58">
        <f t="shared" si="2"/>
        <v>1</v>
      </c>
      <c r="R58">
        <f t="shared" si="3"/>
        <v>0</v>
      </c>
      <c r="S58">
        <f t="shared" si="4"/>
        <v>0</v>
      </c>
      <c r="T58">
        <f t="shared" si="5"/>
        <v>1</v>
      </c>
    </row>
    <row r="59" spans="1:20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O59">
        <f t="shared" si="0"/>
        <v>0</v>
      </c>
      <c r="P59">
        <f t="shared" si="1"/>
        <v>0</v>
      </c>
      <c r="Q59">
        <f t="shared" si="2"/>
        <v>1</v>
      </c>
      <c r="R59">
        <f t="shared" si="3"/>
        <v>0</v>
      </c>
      <c r="S59">
        <f t="shared" si="4"/>
        <v>0</v>
      </c>
      <c r="T59">
        <f t="shared" si="5"/>
        <v>1</v>
      </c>
    </row>
    <row r="60" spans="1:20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O60">
        <f t="shared" si="0"/>
        <v>0</v>
      </c>
      <c r="P60">
        <f t="shared" si="1"/>
        <v>0</v>
      </c>
      <c r="Q60">
        <f t="shared" si="2"/>
        <v>1</v>
      </c>
      <c r="R60">
        <f t="shared" si="3"/>
        <v>0</v>
      </c>
      <c r="S60">
        <f t="shared" si="4"/>
        <v>0</v>
      </c>
      <c r="T60">
        <f t="shared" si="5"/>
        <v>1</v>
      </c>
    </row>
    <row r="61" spans="1:20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O61">
        <f t="shared" si="0"/>
        <v>0</v>
      </c>
      <c r="P61">
        <f t="shared" si="1"/>
        <v>0</v>
      </c>
      <c r="Q61">
        <f t="shared" si="2"/>
        <v>1</v>
      </c>
      <c r="R61">
        <f t="shared" si="3"/>
        <v>0</v>
      </c>
      <c r="S61">
        <f t="shared" si="4"/>
        <v>0</v>
      </c>
      <c r="T61">
        <f t="shared" si="5"/>
        <v>1</v>
      </c>
    </row>
    <row r="62" spans="1:20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O62">
        <f t="shared" si="0"/>
        <v>1</v>
      </c>
      <c r="P62">
        <f t="shared" si="1"/>
        <v>0</v>
      </c>
      <c r="Q62">
        <f t="shared" si="2"/>
        <v>0</v>
      </c>
      <c r="R62">
        <f t="shared" si="3"/>
        <v>0</v>
      </c>
      <c r="S62">
        <f t="shared" si="4"/>
        <v>1</v>
      </c>
      <c r="T62">
        <f t="shared" si="5"/>
        <v>0</v>
      </c>
    </row>
    <row r="63" spans="1:20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O63">
        <f t="shared" si="0"/>
        <v>1</v>
      </c>
      <c r="P63">
        <f t="shared" si="1"/>
        <v>0</v>
      </c>
      <c r="Q63">
        <f t="shared" si="2"/>
        <v>0</v>
      </c>
      <c r="R63">
        <f t="shared" si="3"/>
        <v>0</v>
      </c>
      <c r="S63">
        <f t="shared" si="4"/>
        <v>1</v>
      </c>
      <c r="T63">
        <f t="shared" si="5"/>
        <v>0</v>
      </c>
    </row>
    <row r="64" spans="1:20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O64">
        <f t="shared" si="0"/>
        <v>1</v>
      </c>
      <c r="P64">
        <f t="shared" si="1"/>
        <v>0</v>
      </c>
      <c r="Q64">
        <f t="shared" si="2"/>
        <v>0</v>
      </c>
      <c r="R64">
        <f t="shared" si="3"/>
        <v>0</v>
      </c>
      <c r="S64">
        <f t="shared" si="4"/>
        <v>1</v>
      </c>
      <c r="T64">
        <f t="shared" si="5"/>
        <v>0</v>
      </c>
    </row>
    <row r="65" spans="1:20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O65">
        <f t="shared" si="0"/>
        <v>1</v>
      </c>
      <c r="P65">
        <f t="shared" si="1"/>
        <v>0</v>
      </c>
      <c r="Q65">
        <f t="shared" si="2"/>
        <v>0</v>
      </c>
      <c r="R65">
        <f t="shared" si="3"/>
        <v>0</v>
      </c>
      <c r="S65">
        <f t="shared" si="4"/>
        <v>1</v>
      </c>
      <c r="T65">
        <f t="shared" si="5"/>
        <v>0</v>
      </c>
    </row>
    <row r="66" spans="1:20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O66">
        <f t="shared" si="0"/>
        <v>1</v>
      </c>
      <c r="P66">
        <f t="shared" si="1"/>
        <v>0</v>
      </c>
      <c r="Q66">
        <f t="shared" si="2"/>
        <v>0</v>
      </c>
      <c r="R66">
        <f t="shared" si="3"/>
        <v>0</v>
      </c>
      <c r="S66">
        <f t="shared" si="4"/>
        <v>0</v>
      </c>
      <c r="T66">
        <f t="shared" si="5"/>
        <v>0</v>
      </c>
    </row>
    <row r="67" spans="1:20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O67">
        <f t="shared" ref="O67:O130" si="6">IF($D67="High Street",1,0)</f>
        <v>1</v>
      </c>
      <c r="P67">
        <f t="shared" ref="P67:P130" si="7">IF($D67="Mall",1,0)</f>
        <v>0</v>
      </c>
      <c r="Q67">
        <f t="shared" ref="Q67:Q130" si="8">IF($D67="Airport",1,0)</f>
        <v>0</v>
      </c>
      <c r="R67">
        <f t="shared" ref="R67:R130" si="9">IF($C67="North",1,0)</f>
        <v>0</v>
      </c>
      <c r="S67">
        <f t="shared" ref="S67:S130" si="10">IF($C67="South",1,0)</f>
        <v>0</v>
      </c>
      <c r="T67">
        <f t="shared" ref="T67:T130" si="11">IF($C67="East",1,0)</f>
        <v>0</v>
      </c>
    </row>
    <row r="68" spans="1:20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O68">
        <f t="shared" si="6"/>
        <v>1</v>
      </c>
      <c r="P68">
        <f t="shared" si="7"/>
        <v>0</v>
      </c>
      <c r="Q68">
        <f t="shared" si="8"/>
        <v>0</v>
      </c>
      <c r="R68">
        <f t="shared" si="9"/>
        <v>0</v>
      </c>
      <c r="S68">
        <f t="shared" si="10"/>
        <v>0</v>
      </c>
      <c r="T68">
        <f t="shared" si="11"/>
        <v>0</v>
      </c>
    </row>
    <row r="69" spans="1:20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O69">
        <f t="shared" si="6"/>
        <v>1</v>
      </c>
      <c r="P69">
        <f t="shared" si="7"/>
        <v>0</v>
      </c>
      <c r="Q69">
        <f t="shared" si="8"/>
        <v>0</v>
      </c>
      <c r="R69">
        <f t="shared" si="9"/>
        <v>0</v>
      </c>
      <c r="S69">
        <f t="shared" si="10"/>
        <v>0</v>
      </c>
      <c r="T69">
        <f t="shared" si="11"/>
        <v>0</v>
      </c>
    </row>
    <row r="70" spans="1:20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O70">
        <f t="shared" si="6"/>
        <v>1</v>
      </c>
      <c r="P70">
        <f t="shared" si="7"/>
        <v>0</v>
      </c>
      <c r="Q70">
        <f t="shared" si="8"/>
        <v>0</v>
      </c>
      <c r="R70">
        <f t="shared" si="9"/>
        <v>0</v>
      </c>
      <c r="S70">
        <f t="shared" si="10"/>
        <v>0</v>
      </c>
      <c r="T70">
        <f t="shared" si="11"/>
        <v>1</v>
      </c>
    </row>
    <row r="71" spans="1:20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O71">
        <f t="shared" si="6"/>
        <v>1</v>
      </c>
      <c r="P71">
        <f t="shared" si="7"/>
        <v>0</v>
      </c>
      <c r="Q71">
        <f t="shared" si="8"/>
        <v>0</v>
      </c>
      <c r="R71">
        <f t="shared" si="9"/>
        <v>0</v>
      </c>
      <c r="S71">
        <f t="shared" si="10"/>
        <v>0</v>
      </c>
      <c r="T71">
        <f t="shared" si="11"/>
        <v>1</v>
      </c>
    </row>
    <row r="72" spans="1:20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O72">
        <f t="shared" si="6"/>
        <v>1</v>
      </c>
      <c r="P72">
        <f t="shared" si="7"/>
        <v>0</v>
      </c>
      <c r="Q72">
        <f t="shared" si="8"/>
        <v>0</v>
      </c>
      <c r="R72">
        <f t="shared" si="9"/>
        <v>0</v>
      </c>
      <c r="S72">
        <f t="shared" si="10"/>
        <v>0</v>
      </c>
      <c r="T72">
        <f t="shared" si="11"/>
        <v>1</v>
      </c>
    </row>
    <row r="73" spans="1:20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3.3650000000000002</v>
      </c>
      <c r="K73">
        <v>0</v>
      </c>
      <c r="L73">
        <v>3.5</v>
      </c>
      <c r="M73">
        <v>674774.09</v>
      </c>
      <c r="N73">
        <v>141917.59</v>
      </c>
      <c r="O73">
        <f t="shared" si="6"/>
        <v>1</v>
      </c>
      <c r="P73">
        <f t="shared" si="7"/>
        <v>0</v>
      </c>
      <c r="Q73">
        <f t="shared" si="8"/>
        <v>0</v>
      </c>
      <c r="R73">
        <f t="shared" si="9"/>
        <v>0</v>
      </c>
      <c r="S73">
        <f t="shared" si="10"/>
        <v>0</v>
      </c>
      <c r="T73">
        <f t="shared" si="11"/>
        <v>1</v>
      </c>
    </row>
    <row r="74" spans="1:20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O74">
        <f t="shared" si="6"/>
        <v>0</v>
      </c>
      <c r="P74">
        <f t="shared" si="7"/>
        <v>0</v>
      </c>
      <c r="Q74">
        <f t="shared" si="8"/>
        <v>0</v>
      </c>
      <c r="R74">
        <f t="shared" si="9"/>
        <v>0</v>
      </c>
      <c r="S74">
        <f t="shared" si="10"/>
        <v>0</v>
      </c>
      <c r="T74">
        <f t="shared" si="11"/>
        <v>1</v>
      </c>
    </row>
    <row r="75" spans="1:20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O75">
        <f t="shared" si="6"/>
        <v>0</v>
      </c>
      <c r="P75">
        <f t="shared" si="7"/>
        <v>0</v>
      </c>
      <c r="Q75">
        <f t="shared" si="8"/>
        <v>0</v>
      </c>
      <c r="R75">
        <f t="shared" si="9"/>
        <v>0</v>
      </c>
      <c r="S75">
        <f t="shared" si="10"/>
        <v>0</v>
      </c>
      <c r="T75">
        <f t="shared" si="11"/>
        <v>1</v>
      </c>
    </row>
    <row r="76" spans="1:20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O76">
        <f t="shared" si="6"/>
        <v>0</v>
      </c>
      <c r="P76">
        <f t="shared" si="7"/>
        <v>0</v>
      </c>
      <c r="Q76">
        <f t="shared" si="8"/>
        <v>0</v>
      </c>
      <c r="R76">
        <f t="shared" si="9"/>
        <v>0</v>
      </c>
      <c r="S76">
        <f t="shared" si="10"/>
        <v>0</v>
      </c>
      <c r="T76">
        <f t="shared" si="11"/>
        <v>1</v>
      </c>
    </row>
    <row r="77" spans="1:20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O77">
        <f t="shared" si="6"/>
        <v>0</v>
      </c>
      <c r="P77">
        <f t="shared" si="7"/>
        <v>0</v>
      </c>
      <c r="Q77">
        <f t="shared" si="8"/>
        <v>0</v>
      </c>
      <c r="R77">
        <f t="shared" si="9"/>
        <v>0</v>
      </c>
      <c r="S77">
        <f t="shared" si="10"/>
        <v>0</v>
      </c>
      <c r="T77">
        <f t="shared" si="11"/>
        <v>1</v>
      </c>
    </row>
    <row r="78" spans="1:20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O78">
        <f t="shared" si="6"/>
        <v>1</v>
      </c>
      <c r="P78">
        <f t="shared" si="7"/>
        <v>0</v>
      </c>
      <c r="Q78">
        <f t="shared" si="8"/>
        <v>0</v>
      </c>
      <c r="R78">
        <f t="shared" si="9"/>
        <v>0</v>
      </c>
      <c r="S78">
        <f t="shared" si="10"/>
        <v>1</v>
      </c>
      <c r="T78">
        <f t="shared" si="11"/>
        <v>0</v>
      </c>
    </row>
    <row r="79" spans="1:20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O79">
        <f t="shared" si="6"/>
        <v>1</v>
      </c>
      <c r="P79">
        <f t="shared" si="7"/>
        <v>0</v>
      </c>
      <c r="Q79">
        <f t="shared" si="8"/>
        <v>0</v>
      </c>
      <c r="R79">
        <f t="shared" si="9"/>
        <v>0</v>
      </c>
      <c r="S79">
        <f t="shared" si="10"/>
        <v>1</v>
      </c>
      <c r="T79">
        <f t="shared" si="11"/>
        <v>0</v>
      </c>
    </row>
    <row r="80" spans="1:20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O80">
        <f t="shared" si="6"/>
        <v>1</v>
      </c>
      <c r="P80">
        <f t="shared" si="7"/>
        <v>0</v>
      </c>
      <c r="Q80">
        <f t="shared" si="8"/>
        <v>0</v>
      </c>
      <c r="R80">
        <f t="shared" si="9"/>
        <v>0</v>
      </c>
      <c r="S80">
        <f t="shared" si="10"/>
        <v>1</v>
      </c>
      <c r="T80">
        <f t="shared" si="11"/>
        <v>0</v>
      </c>
    </row>
    <row r="81" spans="1:20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O81">
        <f t="shared" si="6"/>
        <v>1</v>
      </c>
      <c r="P81">
        <f t="shared" si="7"/>
        <v>0</v>
      </c>
      <c r="Q81">
        <f t="shared" si="8"/>
        <v>0</v>
      </c>
      <c r="R81">
        <f t="shared" si="9"/>
        <v>0</v>
      </c>
      <c r="S81">
        <f t="shared" si="10"/>
        <v>1</v>
      </c>
      <c r="T81">
        <f t="shared" si="11"/>
        <v>0</v>
      </c>
    </row>
    <row r="82" spans="1:20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O82">
        <f t="shared" si="6"/>
        <v>0</v>
      </c>
      <c r="P82">
        <f t="shared" si="7"/>
        <v>1</v>
      </c>
      <c r="Q82">
        <f t="shared" si="8"/>
        <v>0</v>
      </c>
      <c r="R82">
        <f t="shared" si="9"/>
        <v>0</v>
      </c>
      <c r="S82">
        <f t="shared" si="10"/>
        <v>0</v>
      </c>
      <c r="T82">
        <f t="shared" si="11"/>
        <v>0</v>
      </c>
    </row>
    <row r="83" spans="1:20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O83">
        <f t="shared" si="6"/>
        <v>0</v>
      </c>
      <c r="P83">
        <f t="shared" si="7"/>
        <v>1</v>
      </c>
      <c r="Q83">
        <f t="shared" si="8"/>
        <v>0</v>
      </c>
      <c r="R83">
        <f t="shared" si="9"/>
        <v>0</v>
      </c>
      <c r="S83">
        <f t="shared" si="10"/>
        <v>0</v>
      </c>
      <c r="T83">
        <f t="shared" si="11"/>
        <v>0</v>
      </c>
    </row>
    <row r="84" spans="1:20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O84">
        <f t="shared" si="6"/>
        <v>0</v>
      </c>
      <c r="P84">
        <f t="shared" si="7"/>
        <v>1</v>
      </c>
      <c r="Q84">
        <f t="shared" si="8"/>
        <v>0</v>
      </c>
      <c r="R84">
        <f t="shared" si="9"/>
        <v>0</v>
      </c>
      <c r="S84">
        <f t="shared" si="10"/>
        <v>0</v>
      </c>
      <c r="T84">
        <f t="shared" si="11"/>
        <v>0</v>
      </c>
    </row>
    <row r="85" spans="1:20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O85">
        <f t="shared" si="6"/>
        <v>0</v>
      </c>
      <c r="P85">
        <f t="shared" si="7"/>
        <v>1</v>
      </c>
      <c r="Q85">
        <f t="shared" si="8"/>
        <v>0</v>
      </c>
      <c r="R85">
        <f t="shared" si="9"/>
        <v>0</v>
      </c>
      <c r="S85">
        <f t="shared" si="10"/>
        <v>0</v>
      </c>
      <c r="T85">
        <f t="shared" si="11"/>
        <v>0</v>
      </c>
    </row>
    <row r="86" spans="1:20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O86">
        <f t="shared" si="6"/>
        <v>1</v>
      </c>
      <c r="P86">
        <f t="shared" si="7"/>
        <v>0</v>
      </c>
      <c r="Q86">
        <f t="shared" si="8"/>
        <v>0</v>
      </c>
      <c r="R86">
        <f t="shared" si="9"/>
        <v>0</v>
      </c>
      <c r="S86">
        <f t="shared" si="10"/>
        <v>0</v>
      </c>
      <c r="T86">
        <f t="shared" si="11"/>
        <v>0</v>
      </c>
    </row>
    <row r="87" spans="1:20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</v>
      </c>
      <c r="M87">
        <v>611766.72</v>
      </c>
      <c r="N87">
        <v>88275.61</v>
      </c>
      <c r="O87">
        <f t="shared" si="6"/>
        <v>1</v>
      </c>
      <c r="P87">
        <f t="shared" si="7"/>
        <v>0</v>
      </c>
      <c r="Q87">
        <f t="shared" si="8"/>
        <v>0</v>
      </c>
      <c r="R87">
        <f t="shared" si="9"/>
        <v>0</v>
      </c>
      <c r="S87">
        <f t="shared" si="10"/>
        <v>0</v>
      </c>
      <c r="T87">
        <f t="shared" si="11"/>
        <v>0</v>
      </c>
    </row>
    <row r="88" spans="1:20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O88">
        <f t="shared" si="6"/>
        <v>1</v>
      </c>
      <c r="P88">
        <f t="shared" si="7"/>
        <v>0</v>
      </c>
      <c r="Q88">
        <f t="shared" si="8"/>
        <v>0</v>
      </c>
      <c r="R88">
        <f t="shared" si="9"/>
        <v>0</v>
      </c>
      <c r="S88">
        <f t="shared" si="10"/>
        <v>0</v>
      </c>
      <c r="T88">
        <f t="shared" si="11"/>
        <v>0</v>
      </c>
    </row>
    <row r="89" spans="1:20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O89">
        <f t="shared" si="6"/>
        <v>1</v>
      </c>
      <c r="P89">
        <f t="shared" si="7"/>
        <v>0</v>
      </c>
      <c r="Q89">
        <f t="shared" si="8"/>
        <v>0</v>
      </c>
      <c r="R89">
        <f t="shared" si="9"/>
        <v>0</v>
      </c>
      <c r="S89">
        <f t="shared" si="10"/>
        <v>0</v>
      </c>
      <c r="T89">
        <f t="shared" si="11"/>
        <v>0</v>
      </c>
    </row>
    <row r="90" spans="1:20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O90">
        <f t="shared" si="6"/>
        <v>0</v>
      </c>
      <c r="P90">
        <f t="shared" si="7"/>
        <v>1</v>
      </c>
      <c r="Q90">
        <f t="shared" si="8"/>
        <v>0</v>
      </c>
      <c r="R90">
        <f t="shared" si="9"/>
        <v>0</v>
      </c>
      <c r="S90">
        <f t="shared" si="10"/>
        <v>1</v>
      </c>
      <c r="T90">
        <f t="shared" si="11"/>
        <v>0</v>
      </c>
    </row>
    <row r="91" spans="1:20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O91">
        <f t="shared" si="6"/>
        <v>0</v>
      </c>
      <c r="P91">
        <f t="shared" si="7"/>
        <v>1</v>
      </c>
      <c r="Q91">
        <f t="shared" si="8"/>
        <v>0</v>
      </c>
      <c r="R91">
        <f t="shared" si="9"/>
        <v>0</v>
      </c>
      <c r="S91">
        <f t="shared" si="10"/>
        <v>1</v>
      </c>
      <c r="T91">
        <f t="shared" si="11"/>
        <v>0</v>
      </c>
    </row>
    <row r="92" spans="1:20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O92">
        <f t="shared" si="6"/>
        <v>0</v>
      </c>
      <c r="P92">
        <f t="shared" si="7"/>
        <v>1</v>
      </c>
      <c r="Q92">
        <f t="shared" si="8"/>
        <v>0</v>
      </c>
      <c r="R92">
        <f t="shared" si="9"/>
        <v>0</v>
      </c>
      <c r="S92">
        <f t="shared" si="10"/>
        <v>1</v>
      </c>
      <c r="T92">
        <f t="shared" si="11"/>
        <v>0</v>
      </c>
    </row>
    <row r="93" spans="1:20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O93">
        <f t="shared" si="6"/>
        <v>0</v>
      </c>
      <c r="P93">
        <f t="shared" si="7"/>
        <v>1</v>
      </c>
      <c r="Q93">
        <f t="shared" si="8"/>
        <v>0</v>
      </c>
      <c r="R93">
        <f t="shared" si="9"/>
        <v>0</v>
      </c>
      <c r="S93">
        <f t="shared" si="10"/>
        <v>1</v>
      </c>
      <c r="T93">
        <f t="shared" si="11"/>
        <v>0</v>
      </c>
    </row>
    <row r="94" spans="1:20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O94">
        <f t="shared" si="6"/>
        <v>0</v>
      </c>
      <c r="P94">
        <f t="shared" si="7"/>
        <v>0</v>
      </c>
      <c r="Q94">
        <f t="shared" si="8"/>
        <v>0</v>
      </c>
      <c r="R94">
        <f t="shared" si="9"/>
        <v>0</v>
      </c>
      <c r="S94">
        <f t="shared" si="10"/>
        <v>0</v>
      </c>
      <c r="T94">
        <f t="shared" si="11"/>
        <v>0</v>
      </c>
    </row>
    <row r="95" spans="1:20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O95">
        <f t="shared" si="6"/>
        <v>0</v>
      </c>
      <c r="P95">
        <f t="shared" si="7"/>
        <v>0</v>
      </c>
      <c r="Q95">
        <f t="shared" si="8"/>
        <v>0</v>
      </c>
      <c r="R95">
        <f t="shared" si="9"/>
        <v>0</v>
      </c>
      <c r="S95">
        <f t="shared" si="10"/>
        <v>0</v>
      </c>
      <c r="T95">
        <f t="shared" si="11"/>
        <v>0</v>
      </c>
    </row>
    <row r="96" spans="1:20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O96">
        <f t="shared" si="6"/>
        <v>0</v>
      </c>
      <c r="P96">
        <f t="shared" si="7"/>
        <v>0</v>
      </c>
      <c r="Q96">
        <f t="shared" si="8"/>
        <v>0</v>
      </c>
      <c r="R96">
        <f t="shared" si="9"/>
        <v>0</v>
      </c>
      <c r="S96">
        <f t="shared" si="10"/>
        <v>0</v>
      </c>
      <c r="T96">
        <f t="shared" si="11"/>
        <v>0</v>
      </c>
    </row>
    <row r="97" spans="1:20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O97">
        <f t="shared" si="6"/>
        <v>0</v>
      </c>
      <c r="P97">
        <f t="shared" si="7"/>
        <v>0</v>
      </c>
      <c r="Q97">
        <f t="shared" si="8"/>
        <v>0</v>
      </c>
      <c r="R97">
        <f t="shared" si="9"/>
        <v>0</v>
      </c>
      <c r="S97">
        <f t="shared" si="10"/>
        <v>0</v>
      </c>
      <c r="T97">
        <f t="shared" si="11"/>
        <v>0</v>
      </c>
    </row>
    <row r="98" spans="1:20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O98">
        <f t="shared" si="6"/>
        <v>0</v>
      </c>
      <c r="P98">
        <f t="shared" si="7"/>
        <v>1</v>
      </c>
      <c r="Q98">
        <f t="shared" si="8"/>
        <v>0</v>
      </c>
      <c r="R98">
        <f t="shared" si="9"/>
        <v>0</v>
      </c>
      <c r="S98">
        <f t="shared" si="10"/>
        <v>0</v>
      </c>
      <c r="T98">
        <f t="shared" si="11"/>
        <v>0</v>
      </c>
    </row>
    <row r="99" spans="1:20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O99">
        <f t="shared" si="6"/>
        <v>0</v>
      </c>
      <c r="P99">
        <f t="shared" si="7"/>
        <v>1</v>
      </c>
      <c r="Q99">
        <f t="shared" si="8"/>
        <v>0</v>
      </c>
      <c r="R99">
        <f t="shared" si="9"/>
        <v>0</v>
      </c>
      <c r="S99">
        <f t="shared" si="10"/>
        <v>0</v>
      </c>
      <c r="T99">
        <f t="shared" si="11"/>
        <v>0</v>
      </c>
    </row>
    <row r="100" spans="1:20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3.3650000000000002</v>
      </c>
      <c r="K100">
        <v>0</v>
      </c>
      <c r="L100">
        <v>4.3</v>
      </c>
      <c r="M100">
        <v>605775.32999999996</v>
      </c>
      <c r="N100">
        <v>107194.6</v>
      </c>
      <c r="O100">
        <f t="shared" si="6"/>
        <v>0</v>
      </c>
      <c r="P100">
        <f t="shared" si="7"/>
        <v>1</v>
      </c>
      <c r="Q100">
        <f t="shared" si="8"/>
        <v>0</v>
      </c>
      <c r="R100">
        <f t="shared" si="9"/>
        <v>0</v>
      </c>
      <c r="S100">
        <f t="shared" si="10"/>
        <v>0</v>
      </c>
      <c r="T100">
        <f t="shared" si="11"/>
        <v>0</v>
      </c>
    </row>
    <row r="101" spans="1:20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O101">
        <f t="shared" si="6"/>
        <v>0</v>
      </c>
      <c r="P101">
        <f t="shared" si="7"/>
        <v>1</v>
      </c>
      <c r="Q101">
        <f t="shared" si="8"/>
        <v>0</v>
      </c>
      <c r="R101">
        <f t="shared" si="9"/>
        <v>0</v>
      </c>
      <c r="S101">
        <f t="shared" si="10"/>
        <v>0</v>
      </c>
      <c r="T101">
        <f t="shared" si="11"/>
        <v>0</v>
      </c>
    </row>
    <row r="102" spans="1:20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O102">
        <f t="shared" si="6"/>
        <v>0</v>
      </c>
      <c r="P102">
        <f t="shared" si="7"/>
        <v>1</v>
      </c>
      <c r="Q102">
        <f t="shared" si="8"/>
        <v>0</v>
      </c>
      <c r="R102">
        <f t="shared" si="9"/>
        <v>0</v>
      </c>
      <c r="S102">
        <f t="shared" si="10"/>
        <v>0</v>
      </c>
      <c r="T102">
        <f t="shared" si="11"/>
        <v>1</v>
      </c>
    </row>
    <row r="103" spans="1:20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O103">
        <f t="shared" si="6"/>
        <v>0</v>
      </c>
      <c r="P103">
        <f t="shared" si="7"/>
        <v>1</v>
      </c>
      <c r="Q103">
        <f t="shared" si="8"/>
        <v>0</v>
      </c>
      <c r="R103">
        <f t="shared" si="9"/>
        <v>0</v>
      </c>
      <c r="S103">
        <f t="shared" si="10"/>
        <v>0</v>
      </c>
      <c r="T103">
        <f t="shared" si="11"/>
        <v>1</v>
      </c>
    </row>
    <row r="104" spans="1:20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O104">
        <f t="shared" si="6"/>
        <v>0</v>
      </c>
      <c r="P104">
        <f t="shared" si="7"/>
        <v>1</v>
      </c>
      <c r="Q104">
        <f t="shared" si="8"/>
        <v>0</v>
      </c>
      <c r="R104">
        <f t="shared" si="9"/>
        <v>0</v>
      </c>
      <c r="S104">
        <f t="shared" si="10"/>
        <v>0</v>
      </c>
      <c r="T104">
        <f t="shared" si="11"/>
        <v>1</v>
      </c>
    </row>
    <row r="105" spans="1:20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O105">
        <f t="shared" si="6"/>
        <v>0</v>
      </c>
      <c r="P105">
        <f t="shared" si="7"/>
        <v>1</v>
      </c>
      <c r="Q105">
        <f t="shared" si="8"/>
        <v>0</v>
      </c>
      <c r="R105">
        <f t="shared" si="9"/>
        <v>0</v>
      </c>
      <c r="S105">
        <f t="shared" si="10"/>
        <v>0</v>
      </c>
      <c r="T105">
        <f t="shared" si="11"/>
        <v>1</v>
      </c>
    </row>
    <row r="106" spans="1:20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O106">
        <f t="shared" si="6"/>
        <v>1</v>
      </c>
      <c r="P106">
        <f t="shared" si="7"/>
        <v>0</v>
      </c>
      <c r="Q106">
        <f t="shared" si="8"/>
        <v>0</v>
      </c>
      <c r="R106">
        <f t="shared" si="9"/>
        <v>0</v>
      </c>
      <c r="S106">
        <f t="shared" si="10"/>
        <v>0</v>
      </c>
      <c r="T106">
        <f t="shared" si="11"/>
        <v>0</v>
      </c>
    </row>
    <row r="107" spans="1:20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O107">
        <f t="shared" si="6"/>
        <v>1</v>
      </c>
      <c r="P107">
        <f t="shared" si="7"/>
        <v>0</v>
      </c>
      <c r="Q107">
        <f t="shared" si="8"/>
        <v>0</v>
      </c>
      <c r="R107">
        <f t="shared" si="9"/>
        <v>0</v>
      </c>
      <c r="S107">
        <f t="shared" si="10"/>
        <v>0</v>
      </c>
      <c r="T107">
        <f t="shared" si="11"/>
        <v>0</v>
      </c>
    </row>
    <row r="108" spans="1:20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O108">
        <f t="shared" si="6"/>
        <v>1</v>
      </c>
      <c r="P108">
        <f t="shared" si="7"/>
        <v>0</v>
      </c>
      <c r="Q108">
        <f t="shared" si="8"/>
        <v>0</v>
      </c>
      <c r="R108">
        <f t="shared" si="9"/>
        <v>0</v>
      </c>
      <c r="S108">
        <f t="shared" si="10"/>
        <v>0</v>
      </c>
      <c r="T108">
        <f t="shared" si="11"/>
        <v>0</v>
      </c>
    </row>
    <row r="109" spans="1:20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O109">
        <f t="shared" si="6"/>
        <v>1</v>
      </c>
      <c r="P109">
        <f t="shared" si="7"/>
        <v>0</v>
      </c>
      <c r="Q109">
        <f t="shared" si="8"/>
        <v>0</v>
      </c>
      <c r="R109">
        <f t="shared" si="9"/>
        <v>0</v>
      </c>
      <c r="S109">
        <f t="shared" si="10"/>
        <v>0</v>
      </c>
      <c r="T109">
        <f t="shared" si="11"/>
        <v>0</v>
      </c>
    </row>
    <row r="110" spans="1:20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O110">
        <f t="shared" si="6"/>
        <v>0</v>
      </c>
      <c r="P110">
        <f t="shared" si="7"/>
        <v>1</v>
      </c>
      <c r="Q110">
        <f t="shared" si="8"/>
        <v>0</v>
      </c>
      <c r="R110">
        <f t="shared" si="9"/>
        <v>0</v>
      </c>
      <c r="S110">
        <f t="shared" si="10"/>
        <v>0</v>
      </c>
      <c r="T110">
        <f t="shared" si="11"/>
        <v>1</v>
      </c>
    </row>
    <row r="111" spans="1:20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O111">
        <f t="shared" si="6"/>
        <v>0</v>
      </c>
      <c r="P111">
        <f t="shared" si="7"/>
        <v>1</v>
      </c>
      <c r="Q111">
        <f t="shared" si="8"/>
        <v>0</v>
      </c>
      <c r="R111">
        <f t="shared" si="9"/>
        <v>0</v>
      </c>
      <c r="S111">
        <f t="shared" si="10"/>
        <v>0</v>
      </c>
      <c r="T111">
        <f t="shared" si="11"/>
        <v>1</v>
      </c>
    </row>
    <row r="112" spans="1:20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O112">
        <f t="shared" si="6"/>
        <v>0</v>
      </c>
      <c r="P112">
        <f t="shared" si="7"/>
        <v>1</v>
      </c>
      <c r="Q112">
        <f t="shared" si="8"/>
        <v>0</v>
      </c>
      <c r="R112">
        <f t="shared" si="9"/>
        <v>0</v>
      </c>
      <c r="S112">
        <f t="shared" si="10"/>
        <v>0</v>
      </c>
      <c r="T112">
        <f t="shared" si="11"/>
        <v>1</v>
      </c>
    </row>
    <row r="113" spans="1:20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O113">
        <f t="shared" si="6"/>
        <v>0</v>
      </c>
      <c r="P113">
        <f t="shared" si="7"/>
        <v>1</v>
      </c>
      <c r="Q113">
        <f t="shared" si="8"/>
        <v>0</v>
      </c>
      <c r="R113">
        <f t="shared" si="9"/>
        <v>0</v>
      </c>
      <c r="S113">
        <f t="shared" si="10"/>
        <v>0</v>
      </c>
      <c r="T113">
        <f t="shared" si="11"/>
        <v>1</v>
      </c>
    </row>
    <row r="114" spans="1:20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O114">
        <f t="shared" si="6"/>
        <v>0</v>
      </c>
      <c r="P114">
        <f t="shared" si="7"/>
        <v>1</v>
      </c>
      <c r="Q114">
        <f t="shared" si="8"/>
        <v>0</v>
      </c>
      <c r="R114">
        <f t="shared" si="9"/>
        <v>0</v>
      </c>
      <c r="S114">
        <f t="shared" si="10"/>
        <v>0</v>
      </c>
      <c r="T114">
        <f t="shared" si="11"/>
        <v>0</v>
      </c>
    </row>
    <row r="115" spans="1:20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O115">
        <f t="shared" si="6"/>
        <v>0</v>
      </c>
      <c r="P115">
        <f t="shared" si="7"/>
        <v>1</v>
      </c>
      <c r="Q115">
        <f t="shared" si="8"/>
        <v>0</v>
      </c>
      <c r="R115">
        <f t="shared" si="9"/>
        <v>0</v>
      </c>
      <c r="S115">
        <f t="shared" si="10"/>
        <v>0</v>
      </c>
      <c r="T115">
        <f t="shared" si="11"/>
        <v>0</v>
      </c>
    </row>
    <row r="116" spans="1:20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O116">
        <f t="shared" si="6"/>
        <v>0</v>
      </c>
      <c r="P116">
        <f t="shared" si="7"/>
        <v>1</v>
      </c>
      <c r="Q116">
        <f t="shared" si="8"/>
        <v>0</v>
      </c>
      <c r="R116">
        <f t="shared" si="9"/>
        <v>0</v>
      </c>
      <c r="S116">
        <f t="shared" si="10"/>
        <v>0</v>
      </c>
      <c r="T116">
        <f t="shared" si="11"/>
        <v>0</v>
      </c>
    </row>
    <row r="117" spans="1:20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O117">
        <f t="shared" si="6"/>
        <v>0</v>
      </c>
      <c r="P117">
        <f t="shared" si="7"/>
        <v>1</v>
      </c>
      <c r="Q117">
        <f t="shared" si="8"/>
        <v>0</v>
      </c>
      <c r="R117">
        <f t="shared" si="9"/>
        <v>0</v>
      </c>
      <c r="S117">
        <f t="shared" si="10"/>
        <v>0</v>
      </c>
      <c r="T117">
        <f t="shared" si="11"/>
        <v>0</v>
      </c>
    </row>
    <row r="118" spans="1:20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O118">
        <f t="shared" si="6"/>
        <v>0</v>
      </c>
      <c r="P118">
        <f t="shared" si="7"/>
        <v>0</v>
      </c>
      <c r="Q118">
        <f t="shared" si="8"/>
        <v>0</v>
      </c>
      <c r="R118">
        <f t="shared" si="9"/>
        <v>0</v>
      </c>
      <c r="S118">
        <f t="shared" si="10"/>
        <v>0</v>
      </c>
      <c r="T118">
        <f t="shared" si="11"/>
        <v>0</v>
      </c>
    </row>
    <row r="119" spans="1:20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O119">
        <f t="shared" si="6"/>
        <v>0</v>
      </c>
      <c r="P119">
        <f t="shared" si="7"/>
        <v>0</v>
      </c>
      <c r="Q119">
        <f t="shared" si="8"/>
        <v>0</v>
      </c>
      <c r="R119">
        <f t="shared" si="9"/>
        <v>0</v>
      </c>
      <c r="S119">
        <f t="shared" si="10"/>
        <v>0</v>
      </c>
      <c r="T119">
        <f t="shared" si="11"/>
        <v>0</v>
      </c>
    </row>
    <row r="120" spans="1:20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O120">
        <f t="shared" si="6"/>
        <v>0</v>
      </c>
      <c r="P120">
        <f t="shared" si="7"/>
        <v>0</v>
      </c>
      <c r="Q120">
        <f t="shared" si="8"/>
        <v>0</v>
      </c>
      <c r="R120">
        <f t="shared" si="9"/>
        <v>0</v>
      </c>
      <c r="S120">
        <f t="shared" si="10"/>
        <v>0</v>
      </c>
      <c r="T120">
        <f t="shared" si="11"/>
        <v>0</v>
      </c>
    </row>
    <row r="121" spans="1:20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O121">
        <f t="shared" si="6"/>
        <v>0</v>
      </c>
      <c r="P121">
        <f t="shared" si="7"/>
        <v>0</v>
      </c>
      <c r="Q121">
        <f t="shared" si="8"/>
        <v>0</v>
      </c>
      <c r="R121">
        <f t="shared" si="9"/>
        <v>0</v>
      </c>
      <c r="S121">
        <f t="shared" si="10"/>
        <v>0</v>
      </c>
      <c r="T121">
        <f t="shared" si="11"/>
        <v>0</v>
      </c>
    </row>
    <row r="122" spans="1:20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O122">
        <f t="shared" si="6"/>
        <v>1</v>
      </c>
      <c r="P122">
        <f t="shared" si="7"/>
        <v>0</v>
      </c>
      <c r="Q122">
        <f t="shared" si="8"/>
        <v>0</v>
      </c>
      <c r="R122">
        <f t="shared" si="9"/>
        <v>1</v>
      </c>
      <c r="S122">
        <f t="shared" si="10"/>
        <v>0</v>
      </c>
      <c r="T122">
        <f t="shared" si="11"/>
        <v>0</v>
      </c>
    </row>
    <row r="123" spans="1:20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O123">
        <f t="shared" si="6"/>
        <v>1</v>
      </c>
      <c r="P123">
        <f t="shared" si="7"/>
        <v>0</v>
      </c>
      <c r="Q123">
        <f t="shared" si="8"/>
        <v>0</v>
      </c>
      <c r="R123">
        <f t="shared" si="9"/>
        <v>1</v>
      </c>
      <c r="S123">
        <f t="shared" si="10"/>
        <v>0</v>
      </c>
      <c r="T123">
        <f t="shared" si="11"/>
        <v>0</v>
      </c>
    </row>
    <row r="124" spans="1:20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O124">
        <f t="shared" si="6"/>
        <v>1</v>
      </c>
      <c r="P124">
        <f t="shared" si="7"/>
        <v>0</v>
      </c>
      <c r="Q124">
        <f t="shared" si="8"/>
        <v>0</v>
      </c>
      <c r="R124">
        <f t="shared" si="9"/>
        <v>1</v>
      </c>
      <c r="S124">
        <f t="shared" si="10"/>
        <v>0</v>
      </c>
      <c r="T124">
        <f t="shared" si="11"/>
        <v>0</v>
      </c>
    </row>
    <row r="125" spans="1:20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O125">
        <f t="shared" si="6"/>
        <v>1</v>
      </c>
      <c r="P125">
        <f t="shared" si="7"/>
        <v>0</v>
      </c>
      <c r="Q125">
        <f t="shared" si="8"/>
        <v>0</v>
      </c>
      <c r="R125">
        <f t="shared" si="9"/>
        <v>1</v>
      </c>
      <c r="S125">
        <f t="shared" si="10"/>
        <v>0</v>
      </c>
      <c r="T125">
        <f t="shared" si="11"/>
        <v>0</v>
      </c>
    </row>
    <row r="126" spans="1:20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O126">
        <f t="shared" si="6"/>
        <v>1</v>
      </c>
      <c r="P126">
        <f t="shared" si="7"/>
        <v>0</v>
      </c>
      <c r="Q126">
        <f t="shared" si="8"/>
        <v>0</v>
      </c>
      <c r="R126">
        <f t="shared" si="9"/>
        <v>0</v>
      </c>
      <c r="S126">
        <f t="shared" si="10"/>
        <v>1</v>
      </c>
      <c r="T126">
        <f t="shared" si="11"/>
        <v>0</v>
      </c>
    </row>
    <row r="127" spans="1:20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O127">
        <f t="shared" si="6"/>
        <v>1</v>
      </c>
      <c r="P127">
        <f t="shared" si="7"/>
        <v>0</v>
      </c>
      <c r="Q127">
        <f t="shared" si="8"/>
        <v>0</v>
      </c>
      <c r="R127">
        <f t="shared" si="9"/>
        <v>0</v>
      </c>
      <c r="S127">
        <f t="shared" si="10"/>
        <v>1</v>
      </c>
      <c r="T127">
        <f t="shared" si="11"/>
        <v>0</v>
      </c>
    </row>
    <row r="128" spans="1:20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O128">
        <f t="shared" si="6"/>
        <v>1</v>
      </c>
      <c r="P128">
        <f t="shared" si="7"/>
        <v>0</v>
      </c>
      <c r="Q128">
        <f t="shared" si="8"/>
        <v>0</v>
      </c>
      <c r="R128">
        <f t="shared" si="9"/>
        <v>0</v>
      </c>
      <c r="S128">
        <f t="shared" si="10"/>
        <v>1</v>
      </c>
      <c r="T128">
        <f t="shared" si="11"/>
        <v>0</v>
      </c>
    </row>
    <row r="129" spans="1:20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O129">
        <f t="shared" si="6"/>
        <v>1</v>
      </c>
      <c r="P129">
        <f t="shared" si="7"/>
        <v>0</v>
      </c>
      <c r="Q129">
        <f t="shared" si="8"/>
        <v>0</v>
      </c>
      <c r="R129">
        <f t="shared" si="9"/>
        <v>0</v>
      </c>
      <c r="S129">
        <f t="shared" si="10"/>
        <v>1</v>
      </c>
      <c r="T129">
        <f t="shared" si="11"/>
        <v>0</v>
      </c>
    </row>
    <row r="130" spans="1:20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O130">
        <f t="shared" si="6"/>
        <v>1</v>
      </c>
      <c r="P130">
        <f t="shared" si="7"/>
        <v>0</v>
      </c>
      <c r="Q130">
        <f t="shared" si="8"/>
        <v>0</v>
      </c>
      <c r="R130">
        <f t="shared" si="9"/>
        <v>0</v>
      </c>
      <c r="S130">
        <f t="shared" si="10"/>
        <v>0</v>
      </c>
      <c r="T130">
        <f t="shared" si="11"/>
        <v>1</v>
      </c>
    </row>
    <row r="131" spans="1:20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O131">
        <f t="shared" ref="O131:O194" si="12">IF($D131="High Street",1,0)</f>
        <v>1</v>
      </c>
      <c r="P131">
        <f t="shared" ref="P131:P194" si="13">IF($D131="Mall",1,0)</f>
        <v>0</v>
      </c>
      <c r="Q131">
        <f t="shared" ref="Q131:Q194" si="14">IF($D131="Airport",1,0)</f>
        <v>0</v>
      </c>
      <c r="R131">
        <f t="shared" ref="R131:R194" si="15">IF($C131="North",1,0)</f>
        <v>0</v>
      </c>
      <c r="S131">
        <f t="shared" ref="S131:S194" si="16">IF($C131="South",1,0)</f>
        <v>0</v>
      </c>
      <c r="T131">
        <f t="shared" ref="T131:T194" si="17">IF($C131="East",1,0)</f>
        <v>1</v>
      </c>
    </row>
    <row r="132" spans="1:20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O132">
        <f t="shared" si="12"/>
        <v>1</v>
      </c>
      <c r="P132">
        <f t="shared" si="13"/>
        <v>0</v>
      </c>
      <c r="Q132">
        <f t="shared" si="14"/>
        <v>0</v>
      </c>
      <c r="R132">
        <f t="shared" si="15"/>
        <v>0</v>
      </c>
      <c r="S132">
        <f t="shared" si="16"/>
        <v>0</v>
      </c>
      <c r="T132">
        <f t="shared" si="17"/>
        <v>1</v>
      </c>
    </row>
    <row r="133" spans="1:20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O133">
        <f t="shared" si="12"/>
        <v>1</v>
      </c>
      <c r="P133">
        <f t="shared" si="13"/>
        <v>0</v>
      </c>
      <c r="Q133">
        <f t="shared" si="14"/>
        <v>0</v>
      </c>
      <c r="R133">
        <f t="shared" si="15"/>
        <v>0</v>
      </c>
      <c r="S133">
        <f t="shared" si="16"/>
        <v>0</v>
      </c>
      <c r="T133">
        <f t="shared" si="17"/>
        <v>1</v>
      </c>
    </row>
    <row r="134" spans="1:20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O134">
        <f t="shared" si="12"/>
        <v>1</v>
      </c>
      <c r="P134">
        <f t="shared" si="13"/>
        <v>0</v>
      </c>
      <c r="Q134">
        <f t="shared" si="14"/>
        <v>0</v>
      </c>
      <c r="R134">
        <f t="shared" si="15"/>
        <v>1</v>
      </c>
      <c r="S134">
        <f t="shared" si="16"/>
        <v>0</v>
      </c>
      <c r="T134">
        <f t="shared" si="17"/>
        <v>0</v>
      </c>
    </row>
    <row r="135" spans="1:20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</v>
      </c>
      <c r="M135">
        <v>400831.65</v>
      </c>
      <c r="N135">
        <v>70979.31</v>
      </c>
      <c r="O135">
        <f t="shared" si="12"/>
        <v>1</v>
      </c>
      <c r="P135">
        <f t="shared" si="13"/>
        <v>0</v>
      </c>
      <c r="Q135">
        <f t="shared" si="14"/>
        <v>0</v>
      </c>
      <c r="R135">
        <f t="shared" si="15"/>
        <v>1</v>
      </c>
      <c r="S135">
        <f t="shared" si="16"/>
        <v>0</v>
      </c>
      <c r="T135">
        <f t="shared" si="17"/>
        <v>0</v>
      </c>
    </row>
    <row r="136" spans="1:20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O136">
        <f t="shared" si="12"/>
        <v>1</v>
      </c>
      <c r="P136">
        <f t="shared" si="13"/>
        <v>0</v>
      </c>
      <c r="Q136">
        <f t="shared" si="14"/>
        <v>0</v>
      </c>
      <c r="R136">
        <f t="shared" si="15"/>
        <v>1</v>
      </c>
      <c r="S136">
        <f t="shared" si="16"/>
        <v>0</v>
      </c>
      <c r="T136">
        <f t="shared" si="17"/>
        <v>0</v>
      </c>
    </row>
    <row r="137" spans="1:20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O137">
        <f t="shared" si="12"/>
        <v>1</v>
      </c>
      <c r="P137">
        <f t="shared" si="13"/>
        <v>0</v>
      </c>
      <c r="Q137">
        <f t="shared" si="14"/>
        <v>0</v>
      </c>
      <c r="R137">
        <f t="shared" si="15"/>
        <v>1</v>
      </c>
      <c r="S137">
        <f t="shared" si="16"/>
        <v>0</v>
      </c>
      <c r="T137">
        <f t="shared" si="17"/>
        <v>0</v>
      </c>
    </row>
    <row r="138" spans="1:20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</v>
      </c>
      <c r="M138">
        <v>633638.03</v>
      </c>
      <c r="N138">
        <v>99402.01</v>
      </c>
      <c r="O138">
        <f t="shared" si="12"/>
        <v>0</v>
      </c>
      <c r="P138">
        <f t="shared" si="13"/>
        <v>0</v>
      </c>
      <c r="Q138">
        <f t="shared" si="14"/>
        <v>0</v>
      </c>
      <c r="R138">
        <f t="shared" si="15"/>
        <v>0</v>
      </c>
      <c r="S138">
        <f t="shared" si="16"/>
        <v>1</v>
      </c>
      <c r="T138">
        <f t="shared" si="17"/>
        <v>0</v>
      </c>
    </row>
    <row r="139" spans="1:20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O139">
        <f t="shared" si="12"/>
        <v>0</v>
      </c>
      <c r="P139">
        <f t="shared" si="13"/>
        <v>0</v>
      </c>
      <c r="Q139">
        <f t="shared" si="14"/>
        <v>0</v>
      </c>
      <c r="R139">
        <f t="shared" si="15"/>
        <v>0</v>
      </c>
      <c r="S139">
        <f t="shared" si="16"/>
        <v>1</v>
      </c>
      <c r="T139">
        <f t="shared" si="17"/>
        <v>0</v>
      </c>
    </row>
    <row r="140" spans="1:20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O140">
        <f t="shared" si="12"/>
        <v>0</v>
      </c>
      <c r="P140">
        <f t="shared" si="13"/>
        <v>0</v>
      </c>
      <c r="Q140">
        <f t="shared" si="14"/>
        <v>0</v>
      </c>
      <c r="R140">
        <f t="shared" si="15"/>
        <v>0</v>
      </c>
      <c r="S140">
        <f t="shared" si="16"/>
        <v>1</v>
      </c>
      <c r="T140">
        <f t="shared" si="17"/>
        <v>0</v>
      </c>
    </row>
    <row r="141" spans="1:20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O141">
        <f t="shared" si="12"/>
        <v>0</v>
      </c>
      <c r="P141">
        <f t="shared" si="13"/>
        <v>0</v>
      </c>
      <c r="Q141">
        <f t="shared" si="14"/>
        <v>0</v>
      </c>
      <c r="R141">
        <f t="shared" si="15"/>
        <v>0</v>
      </c>
      <c r="S141">
        <f t="shared" si="16"/>
        <v>1</v>
      </c>
      <c r="T141">
        <f t="shared" si="17"/>
        <v>0</v>
      </c>
    </row>
    <row r="142" spans="1:20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O142">
        <f t="shared" si="12"/>
        <v>1</v>
      </c>
      <c r="P142">
        <f t="shared" si="13"/>
        <v>0</v>
      </c>
      <c r="Q142">
        <f t="shared" si="14"/>
        <v>0</v>
      </c>
      <c r="R142">
        <f t="shared" si="15"/>
        <v>0</v>
      </c>
      <c r="S142">
        <f t="shared" si="16"/>
        <v>0</v>
      </c>
      <c r="T142">
        <f t="shared" si="17"/>
        <v>0</v>
      </c>
    </row>
    <row r="143" spans="1:20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O143">
        <f t="shared" si="12"/>
        <v>1</v>
      </c>
      <c r="P143">
        <f t="shared" si="13"/>
        <v>0</v>
      </c>
      <c r="Q143">
        <f t="shared" si="14"/>
        <v>0</v>
      </c>
      <c r="R143">
        <f t="shared" si="15"/>
        <v>0</v>
      </c>
      <c r="S143">
        <f t="shared" si="16"/>
        <v>0</v>
      </c>
      <c r="T143">
        <f t="shared" si="17"/>
        <v>0</v>
      </c>
    </row>
    <row r="144" spans="1:20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O144">
        <f t="shared" si="12"/>
        <v>1</v>
      </c>
      <c r="P144">
        <f t="shared" si="13"/>
        <v>0</v>
      </c>
      <c r="Q144">
        <f t="shared" si="14"/>
        <v>0</v>
      </c>
      <c r="R144">
        <f t="shared" si="15"/>
        <v>0</v>
      </c>
      <c r="S144">
        <f t="shared" si="16"/>
        <v>0</v>
      </c>
      <c r="T144">
        <f t="shared" si="17"/>
        <v>0</v>
      </c>
    </row>
    <row r="145" spans="1:20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O145">
        <f t="shared" si="12"/>
        <v>1</v>
      </c>
      <c r="P145">
        <f t="shared" si="13"/>
        <v>0</v>
      </c>
      <c r="Q145">
        <f t="shared" si="14"/>
        <v>0</v>
      </c>
      <c r="R145">
        <f t="shared" si="15"/>
        <v>0</v>
      </c>
      <c r="S145">
        <f t="shared" si="16"/>
        <v>0</v>
      </c>
      <c r="T145">
        <f t="shared" si="17"/>
        <v>0</v>
      </c>
    </row>
    <row r="146" spans="1:20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O146">
        <f t="shared" si="12"/>
        <v>0</v>
      </c>
      <c r="P146">
        <f t="shared" si="13"/>
        <v>0</v>
      </c>
      <c r="Q146">
        <f t="shared" si="14"/>
        <v>0</v>
      </c>
      <c r="R146">
        <f t="shared" si="15"/>
        <v>1</v>
      </c>
      <c r="S146">
        <f t="shared" si="16"/>
        <v>0</v>
      </c>
      <c r="T146">
        <f t="shared" si="17"/>
        <v>0</v>
      </c>
    </row>
    <row r="147" spans="1:20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O147">
        <f t="shared" si="12"/>
        <v>0</v>
      </c>
      <c r="P147">
        <f t="shared" si="13"/>
        <v>0</v>
      </c>
      <c r="Q147">
        <f t="shared" si="14"/>
        <v>0</v>
      </c>
      <c r="R147">
        <f t="shared" si="15"/>
        <v>1</v>
      </c>
      <c r="S147">
        <f t="shared" si="16"/>
        <v>0</v>
      </c>
      <c r="T147">
        <f t="shared" si="17"/>
        <v>0</v>
      </c>
    </row>
    <row r="148" spans="1:20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O148">
        <f t="shared" si="12"/>
        <v>0</v>
      </c>
      <c r="P148">
        <f t="shared" si="13"/>
        <v>0</v>
      </c>
      <c r="Q148">
        <f t="shared" si="14"/>
        <v>0</v>
      </c>
      <c r="R148">
        <f t="shared" si="15"/>
        <v>1</v>
      </c>
      <c r="S148">
        <f t="shared" si="16"/>
        <v>0</v>
      </c>
      <c r="T148">
        <f t="shared" si="17"/>
        <v>0</v>
      </c>
    </row>
    <row r="149" spans="1:20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O149">
        <f t="shared" si="12"/>
        <v>0</v>
      </c>
      <c r="P149">
        <f t="shared" si="13"/>
        <v>0</v>
      </c>
      <c r="Q149">
        <f t="shared" si="14"/>
        <v>0</v>
      </c>
      <c r="R149">
        <f t="shared" si="15"/>
        <v>1</v>
      </c>
      <c r="S149">
        <f t="shared" si="16"/>
        <v>0</v>
      </c>
      <c r="T149">
        <f t="shared" si="17"/>
        <v>0</v>
      </c>
    </row>
    <row r="150" spans="1:20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O150">
        <f t="shared" si="12"/>
        <v>0</v>
      </c>
      <c r="P150">
        <f t="shared" si="13"/>
        <v>1</v>
      </c>
      <c r="Q150">
        <f t="shared" si="14"/>
        <v>0</v>
      </c>
      <c r="R150">
        <f t="shared" si="15"/>
        <v>0</v>
      </c>
      <c r="S150">
        <f t="shared" si="16"/>
        <v>1</v>
      </c>
      <c r="T150">
        <f t="shared" si="17"/>
        <v>0</v>
      </c>
    </row>
    <row r="151" spans="1:20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O151">
        <f t="shared" si="12"/>
        <v>0</v>
      </c>
      <c r="P151">
        <f t="shared" si="13"/>
        <v>1</v>
      </c>
      <c r="Q151">
        <f t="shared" si="14"/>
        <v>0</v>
      </c>
      <c r="R151">
        <f t="shared" si="15"/>
        <v>0</v>
      </c>
      <c r="S151">
        <f t="shared" si="16"/>
        <v>1</v>
      </c>
      <c r="T151">
        <f t="shared" si="17"/>
        <v>0</v>
      </c>
    </row>
    <row r="152" spans="1:20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O152">
        <f t="shared" si="12"/>
        <v>0</v>
      </c>
      <c r="P152">
        <f t="shared" si="13"/>
        <v>1</v>
      </c>
      <c r="Q152">
        <f t="shared" si="14"/>
        <v>0</v>
      </c>
      <c r="R152">
        <f t="shared" si="15"/>
        <v>0</v>
      </c>
      <c r="S152">
        <f t="shared" si="16"/>
        <v>1</v>
      </c>
      <c r="T152">
        <f t="shared" si="17"/>
        <v>0</v>
      </c>
    </row>
    <row r="153" spans="1:20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O153">
        <f t="shared" si="12"/>
        <v>0</v>
      </c>
      <c r="P153">
        <f t="shared" si="13"/>
        <v>1</v>
      </c>
      <c r="Q153">
        <f t="shared" si="14"/>
        <v>0</v>
      </c>
      <c r="R153">
        <f t="shared" si="15"/>
        <v>0</v>
      </c>
      <c r="S153">
        <f t="shared" si="16"/>
        <v>1</v>
      </c>
      <c r="T153">
        <f t="shared" si="17"/>
        <v>0</v>
      </c>
    </row>
    <row r="154" spans="1:20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O154">
        <f t="shared" si="12"/>
        <v>1</v>
      </c>
      <c r="P154">
        <f t="shared" si="13"/>
        <v>0</v>
      </c>
      <c r="Q154">
        <f t="shared" si="14"/>
        <v>0</v>
      </c>
      <c r="R154">
        <f t="shared" si="15"/>
        <v>0</v>
      </c>
      <c r="S154">
        <f t="shared" si="16"/>
        <v>0</v>
      </c>
      <c r="T154">
        <f t="shared" si="17"/>
        <v>1</v>
      </c>
    </row>
    <row r="155" spans="1:20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O155">
        <f t="shared" si="12"/>
        <v>1</v>
      </c>
      <c r="P155">
        <f t="shared" si="13"/>
        <v>0</v>
      </c>
      <c r="Q155">
        <f t="shared" si="14"/>
        <v>0</v>
      </c>
      <c r="R155">
        <f t="shared" si="15"/>
        <v>0</v>
      </c>
      <c r="S155">
        <f t="shared" si="16"/>
        <v>0</v>
      </c>
      <c r="T155">
        <f t="shared" si="17"/>
        <v>1</v>
      </c>
    </row>
    <row r="156" spans="1:20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O156">
        <f t="shared" si="12"/>
        <v>1</v>
      </c>
      <c r="P156">
        <f t="shared" si="13"/>
        <v>0</v>
      </c>
      <c r="Q156">
        <f t="shared" si="14"/>
        <v>0</v>
      </c>
      <c r="R156">
        <f t="shared" si="15"/>
        <v>0</v>
      </c>
      <c r="S156">
        <f t="shared" si="16"/>
        <v>0</v>
      </c>
      <c r="T156">
        <f t="shared" si="17"/>
        <v>1</v>
      </c>
    </row>
    <row r="157" spans="1:20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O157">
        <f t="shared" si="12"/>
        <v>1</v>
      </c>
      <c r="P157">
        <f t="shared" si="13"/>
        <v>0</v>
      </c>
      <c r="Q157">
        <f t="shared" si="14"/>
        <v>0</v>
      </c>
      <c r="R157">
        <f t="shared" si="15"/>
        <v>0</v>
      </c>
      <c r="S157">
        <f t="shared" si="16"/>
        <v>0</v>
      </c>
      <c r="T157">
        <f t="shared" si="17"/>
        <v>1</v>
      </c>
    </row>
    <row r="158" spans="1:20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O158">
        <f t="shared" si="12"/>
        <v>0</v>
      </c>
      <c r="P158">
        <f t="shared" si="13"/>
        <v>1</v>
      </c>
      <c r="Q158">
        <f t="shared" si="14"/>
        <v>0</v>
      </c>
      <c r="R158">
        <f t="shared" si="15"/>
        <v>1</v>
      </c>
      <c r="S158">
        <f t="shared" si="16"/>
        <v>0</v>
      </c>
      <c r="T158">
        <f t="shared" si="17"/>
        <v>0</v>
      </c>
    </row>
    <row r="159" spans="1:20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O159">
        <f t="shared" si="12"/>
        <v>0</v>
      </c>
      <c r="P159">
        <f t="shared" si="13"/>
        <v>1</v>
      </c>
      <c r="Q159">
        <f t="shared" si="14"/>
        <v>0</v>
      </c>
      <c r="R159">
        <f t="shared" si="15"/>
        <v>1</v>
      </c>
      <c r="S159">
        <f t="shared" si="16"/>
        <v>0</v>
      </c>
      <c r="T159">
        <f t="shared" si="17"/>
        <v>0</v>
      </c>
    </row>
    <row r="160" spans="1:20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O160">
        <f t="shared" si="12"/>
        <v>0</v>
      </c>
      <c r="P160">
        <f t="shared" si="13"/>
        <v>1</v>
      </c>
      <c r="Q160">
        <f t="shared" si="14"/>
        <v>0</v>
      </c>
      <c r="R160">
        <f t="shared" si="15"/>
        <v>1</v>
      </c>
      <c r="S160">
        <f t="shared" si="16"/>
        <v>0</v>
      </c>
      <c r="T160">
        <f t="shared" si="17"/>
        <v>0</v>
      </c>
    </row>
    <row r="161" spans="1:20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O161">
        <f t="shared" si="12"/>
        <v>0</v>
      </c>
      <c r="P161">
        <f t="shared" si="13"/>
        <v>1</v>
      </c>
      <c r="Q161">
        <f t="shared" si="14"/>
        <v>0</v>
      </c>
      <c r="R161">
        <f t="shared" si="15"/>
        <v>1</v>
      </c>
      <c r="S161">
        <f t="shared" si="16"/>
        <v>0</v>
      </c>
      <c r="T161">
        <f t="shared" si="17"/>
        <v>0</v>
      </c>
    </row>
    <row r="162" spans="1:20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O162">
        <f t="shared" si="12"/>
        <v>1</v>
      </c>
      <c r="P162">
        <f t="shared" si="13"/>
        <v>0</v>
      </c>
      <c r="Q162">
        <f t="shared" si="14"/>
        <v>0</v>
      </c>
      <c r="R162">
        <f t="shared" si="15"/>
        <v>0</v>
      </c>
      <c r="S162">
        <f t="shared" si="16"/>
        <v>1</v>
      </c>
      <c r="T162">
        <f t="shared" si="17"/>
        <v>0</v>
      </c>
    </row>
    <row r="163" spans="1:20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O163">
        <f t="shared" si="12"/>
        <v>1</v>
      </c>
      <c r="P163">
        <f t="shared" si="13"/>
        <v>0</v>
      </c>
      <c r="Q163">
        <f t="shared" si="14"/>
        <v>0</v>
      </c>
      <c r="R163">
        <f t="shared" si="15"/>
        <v>0</v>
      </c>
      <c r="S163">
        <f t="shared" si="16"/>
        <v>1</v>
      </c>
      <c r="T163">
        <f t="shared" si="17"/>
        <v>0</v>
      </c>
    </row>
    <row r="164" spans="1:20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3.3650000000000002</v>
      </c>
      <c r="K164">
        <v>0</v>
      </c>
      <c r="L164">
        <v>4.2</v>
      </c>
      <c r="M164">
        <v>677096.71</v>
      </c>
      <c r="N164">
        <v>97174.11</v>
      </c>
      <c r="O164">
        <f t="shared" si="12"/>
        <v>1</v>
      </c>
      <c r="P164">
        <f t="shared" si="13"/>
        <v>0</v>
      </c>
      <c r="Q164">
        <f t="shared" si="14"/>
        <v>0</v>
      </c>
      <c r="R164">
        <f t="shared" si="15"/>
        <v>0</v>
      </c>
      <c r="S164">
        <f t="shared" si="16"/>
        <v>1</v>
      </c>
      <c r="T164">
        <f t="shared" si="17"/>
        <v>0</v>
      </c>
    </row>
    <row r="165" spans="1:20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O165">
        <f t="shared" si="12"/>
        <v>1</v>
      </c>
      <c r="P165">
        <f t="shared" si="13"/>
        <v>0</v>
      </c>
      <c r="Q165">
        <f t="shared" si="14"/>
        <v>0</v>
      </c>
      <c r="R165">
        <f t="shared" si="15"/>
        <v>0</v>
      </c>
      <c r="S165">
        <f t="shared" si="16"/>
        <v>1</v>
      </c>
      <c r="T165">
        <f t="shared" si="17"/>
        <v>0</v>
      </c>
    </row>
    <row r="166" spans="1:20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O166">
        <f t="shared" si="12"/>
        <v>0</v>
      </c>
      <c r="P166">
        <f t="shared" si="13"/>
        <v>1</v>
      </c>
      <c r="Q166">
        <f t="shared" si="14"/>
        <v>0</v>
      </c>
      <c r="R166">
        <f t="shared" si="15"/>
        <v>1</v>
      </c>
      <c r="S166">
        <f t="shared" si="16"/>
        <v>0</v>
      </c>
      <c r="T166">
        <f t="shared" si="17"/>
        <v>0</v>
      </c>
    </row>
    <row r="167" spans="1:20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O167">
        <f t="shared" si="12"/>
        <v>0</v>
      </c>
      <c r="P167">
        <f t="shared" si="13"/>
        <v>1</v>
      </c>
      <c r="Q167">
        <f t="shared" si="14"/>
        <v>0</v>
      </c>
      <c r="R167">
        <f t="shared" si="15"/>
        <v>1</v>
      </c>
      <c r="S167">
        <f t="shared" si="16"/>
        <v>0</v>
      </c>
      <c r="T167">
        <f t="shared" si="17"/>
        <v>0</v>
      </c>
    </row>
    <row r="168" spans="1:20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O168">
        <f t="shared" si="12"/>
        <v>0</v>
      </c>
      <c r="P168">
        <f t="shared" si="13"/>
        <v>1</v>
      </c>
      <c r="Q168">
        <f t="shared" si="14"/>
        <v>0</v>
      </c>
      <c r="R168">
        <f t="shared" si="15"/>
        <v>1</v>
      </c>
      <c r="S168">
        <f t="shared" si="16"/>
        <v>0</v>
      </c>
      <c r="T168">
        <f t="shared" si="17"/>
        <v>0</v>
      </c>
    </row>
    <row r="169" spans="1:20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O169">
        <f t="shared" si="12"/>
        <v>0</v>
      </c>
      <c r="P169">
        <f t="shared" si="13"/>
        <v>1</v>
      </c>
      <c r="Q169">
        <f t="shared" si="14"/>
        <v>0</v>
      </c>
      <c r="R169">
        <f t="shared" si="15"/>
        <v>1</v>
      </c>
      <c r="S169">
        <f t="shared" si="16"/>
        <v>0</v>
      </c>
      <c r="T169">
        <f t="shared" si="17"/>
        <v>0</v>
      </c>
    </row>
    <row r="170" spans="1:20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O170">
        <f t="shared" si="12"/>
        <v>0</v>
      </c>
      <c r="P170">
        <f t="shared" si="13"/>
        <v>0</v>
      </c>
      <c r="Q170">
        <f t="shared" si="14"/>
        <v>0</v>
      </c>
      <c r="R170">
        <f t="shared" si="15"/>
        <v>0</v>
      </c>
      <c r="S170">
        <f t="shared" si="16"/>
        <v>0</v>
      </c>
      <c r="T170">
        <f t="shared" si="17"/>
        <v>1</v>
      </c>
    </row>
    <row r="171" spans="1:20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O171">
        <f t="shared" si="12"/>
        <v>0</v>
      </c>
      <c r="P171">
        <f t="shared" si="13"/>
        <v>0</v>
      </c>
      <c r="Q171">
        <f t="shared" si="14"/>
        <v>0</v>
      </c>
      <c r="R171">
        <f t="shared" si="15"/>
        <v>0</v>
      </c>
      <c r="S171">
        <f t="shared" si="16"/>
        <v>0</v>
      </c>
      <c r="T171">
        <f t="shared" si="17"/>
        <v>1</v>
      </c>
    </row>
    <row r="172" spans="1:20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O172">
        <f t="shared" si="12"/>
        <v>0</v>
      </c>
      <c r="P172">
        <f t="shared" si="13"/>
        <v>0</v>
      </c>
      <c r="Q172">
        <f t="shared" si="14"/>
        <v>0</v>
      </c>
      <c r="R172">
        <f t="shared" si="15"/>
        <v>0</v>
      </c>
      <c r="S172">
        <f t="shared" si="16"/>
        <v>0</v>
      </c>
      <c r="T172">
        <f t="shared" si="17"/>
        <v>1</v>
      </c>
    </row>
    <row r="173" spans="1:20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O173">
        <f t="shared" si="12"/>
        <v>0</v>
      </c>
      <c r="P173">
        <f t="shared" si="13"/>
        <v>0</v>
      </c>
      <c r="Q173">
        <f t="shared" si="14"/>
        <v>0</v>
      </c>
      <c r="R173">
        <f t="shared" si="15"/>
        <v>0</v>
      </c>
      <c r="S173">
        <f t="shared" si="16"/>
        <v>0</v>
      </c>
      <c r="T173">
        <f t="shared" si="17"/>
        <v>1</v>
      </c>
    </row>
    <row r="174" spans="1:20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O174">
        <f t="shared" si="12"/>
        <v>0</v>
      </c>
      <c r="P174">
        <f t="shared" si="13"/>
        <v>0</v>
      </c>
      <c r="Q174">
        <f t="shared" si="14"/>
        <v>0</v>
      </c>
      <c r="R174">
        <f t="shared" si="15"/>
        <v>0</v>
      </c>
      <c r="S174">
        <f t="shared" si="16"/>
        <v>0</v>
      </c>
      <c r="T174">
        <f t="shared" si="17"/>
        <v>1</v>
      </c>
    </row>
    <row r="175" spans="1:20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O175">
        <f t="shared" si="12"/>
        <v>0</v>
      </c>
      <c r="P175">
        <f t="shared" si="13"/>
        <v>0</v>
      </c>
      <c r="Q175">
        <f t="shared" si="14"/>
        <v>0</v>
      </c>
      <c r="R175">
        <f t="shared" si="15"/>
        <v>0</v>
      </c>
      <c r="S175">
        <f t="shared" si="16"/>
        <v>0</v>
      </c>
      <c r="T175">
        <f t="shared" si="17"/>
        <v>1</v>
      </c>
    </row>
    <row r="176" spans="1:20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O176">
        <f t="shared" si="12"/>
        <v>0</v>
      </c>
      <c r="P176">
        <f t="shared" si="13"/>
        <v>0</v>
      </c>
      <c r="Q176">
        <f t="shared" si="14"/>
        <v>0</v>
      </c>
      <c r="R176">
        <f t="shared" si="15"/>
        <v>0</v>
      </c>
      <c r="S176">
        <f t="shared" si="16"/>
        <v>0</v>
      </c>
      <c r="T176">
        <f t="shared" si="17"/>
        <v>1</v>
      </c>
    </row>
    <row r="177" spans="1:20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O177">
        <f t="shared" si="12"/>
        <v>0</v>
      </c>
      <c r="P177">
        <f t="shared" si="13"/>
        <v>0</v>
      </c>
      <c r="Q177">
        <f t="shared" si="14"/>
        <v>0</v>
      </c>
      <c r="R177">
        <f t="shared" si="15"/>
        <v>0</v>
      </c>
      <c r="S177">
        <f t="shared" si="16"/>
        <v>0</v>
      </c>
      <c r="T177">
        <f t="shared" si="17"/>
        <v>1</v>
      </c>
    </row>
    <row r="178" spans="1:20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O178">
        <f t="shared" si="12"/>
        <v>0</v>
      </c>
      <c r="P178">
        <f t="shared" si="13"/>
        <v>0</v>
      </c>
      <c r="Q178">
        <f t="shared" si="14"/>
        <v>1</v>
      </c>
      <c r="R178">
        <f t="shared" si="15"/>
        <v>0</v>
      </c>
      <c r="S178">
        <f t="shared" si="16"/>
        <v>0</v>
      </c>
      <c r="T178">
        <f t="shared" si="17"/>
        <v>0</v>
      </c>
    </row>
    <row r="179" spans="1:20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O179">
        <f t="shared" si="12"/>
        <v>0</v>
      </c>
      <c r="P179">
        <f t="shared" si="13"/>
        <v>0</v>
      </c>
      <c r="Q179">
        <f t="shared" si="14"/>
        <v>1</v>
      </c>
      <c r="R179">
        <f t="shared" si="15"/>
        <v>0</v>
      </c>
      <c r="S179">
        <f t="shared" si="16"/>
        <v>0</v>
      </c>
      <c r="T179">
        <f t="shared" si="17"/>
        <v>0</v>
      </c>
    </row>
    <row r="180" spans="1:20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O180">
        <f t="shared" si="12"/>
        <v>0</v>
      </c>
      <c r="P180">
        <f t="shared" si="13"/>
        <v>0</v>
      </c>
      <c r="Q180">
        <f t="shared" si="14"/>
        <v>1</v>
      </c>
      <c r="R180">
        <f t="shared" si="15"/>
        <v>0</v>
      </c>
      <c r="S180">
        <f t="shared" si="16"/>
        <v>0</v>
      </c>
      <c r="T180">
        <f t="shared" si="17"/>
        <v>0</v>
      </c>
    </row>
    <row r="181" spans="1:20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O181">
        <f t="shared" si="12"/>
        <v>0</v>
      </c>
      <c r="P181">
        <f t="shared" si="13"/>
        <v>0</v>
      </c>
      <c r="Q181">
        <f t="shared" si="14"/>
        <v>1</v>
      </c>
      <c r="R181">
        <f t="shared" si="15"/>
        <v>0</v>
      </c>
      <c r="S181">
        <f t="shared" si="16"/>
        <v>0</v>
      </c>
      <c r="T181">
        <f t="shared" si="17"/>
        <v>0</v>
      </c>
    </row>
    <row r="182" spans="1:20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O182">
        <f t="shared" si="12"/>
        <v>0</v>
      </c>
      <c r="P182">
        <f t="shared" si="13"/>
        <v>0</v>
      </c>
      <c r="Q182">
        <f t="shared" si="14"/>
        <v>0</v>
      </c>
      <c r="R182">
        <f t="shared" si="15"/>
        <v>0</v>
      </c>
      <c r="S182">
        <f t="shared" si="16"/>
        <v>0</v>
      </c>
      <c r="T182">
        <f t="shared" si="17"/>
        <v>0</v>
      </c>
    </row>
    <row r="183" spans="1:20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O183">
        <f t="shared" si="12"/>
        <v>0</v>
      </c>
      <c r="P183">
        <f t="shared" si="13"/>
        <v>0</v>
      </c>
      <c r="Q183">
        <f t="shared" si="14"/>
        <v>0</v>
      </c>
      <c r="R183">
        <f t="shared" si="15"/>
        <v>0</v>
      </c>
      <c r="S183">
        <f t="shared" si="16"/>
        <v>0</v>
      </c>
      <c r="T183">
        <f t="shared" si="17"/>
        <v>0</v>
      </c>
    </row>
    <row r="184" spans="1:20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O184">
        <f t="shared" si="12"/>
        <v>0</v>
      </c>
      <c r="P184">
        <f t="shared" si="13"/>
        <v>0</v>
      </c>
      <c r="Q184">
        <f t="shared" si="14"/>
        <v>0</v>
      </c>
      <c r="R184">
        <f t="shared" si="15"/>
        <v>0</v>
      </c>
      <c r="S184">
        <f t="shared" si="16"/>
        <v>0</v>
      </c>
      <c r="T184">
        <f t="shared" si="17"/>
        <v>0</v>
      </c>
    </row>
    <row r="185" spans="1:20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O185">
        <f t="shared" si="12"/>
        <v>0</v>
      </c>
      <c r="P185">
        <f t="shared" si="13"/>
        <v>0</v>
      </c>
      <c r="Q185">
        <f t="shared" si="14"/>
        <v>0</v>
      </c>
      <c r="R185">
        <f t="shared" si="15"/>
        <v>0</v>
      </c>
      <c r="S185">
        <f t="shared" si="16"/>
        <v>0</v>
      </c>
      <c r="T185">
        <f t="shared" si="17"/>
        <v>0</v>
      </c>
    </row>
    <row r="186" spans="1:20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O186">
        <f t="shared" si="12"/>
        <v>1</v>
      </c>
      <c r="P186">
        <f t="shared" si="13"/>
        <v>0</v>
      </c>
      <c r="Q186">
        <f t="shared" si="14"/>
        <v>0</v>
      </c>
      <c r="R186">
        <f t="shared" si="15"/>
        <v>1</v>
      </c>
      <c r="S186">
        <f t="shared" si="16"/>
        <v>0</v>
      </c>
      <c r="T186">
        <f t="shared" si="17"/>
        <v>0</v>
      </c>
    </row>
    <row r="187" spans="1:20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O187">
        <f t="shared" si="12"/>
        <v>1</v>
      </c>
      <c r="P187">
        <f t="shared" si="13"/>
        <v>0</v>
      </c>
      <c r="Q187">
        <f t="shared" si="14"/>
        <v>0</v>
      </c>
      <c r="R187">
        <f t="shared" si="15"/>
        <v>1</v>
      </c>
      <c r="S187">
        <f t="shared" si="16"/>
        <v>0</v>
      </c>
      <c r="T187">
        <f t="shared" si="17"/>
        <v>0</v>
      </c>
    </row>
    <row r="188" spans="1:20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O188">
        <f t="shared" si="12"/>
        <v>1</v>
      </c>
      <c r="P188">
        <f t="shared" si="13"/>
        <v>0</v>
      </c>
      <c r="Q188">
        <f t="shared" si="14"/>
        <v>0</v>
      </c>
      <c r="R188">
        <f t="shared" si="15"/>
        <v>1</v>
      </c>
      <c r="S188">
        <f t="shared" si="16"/>
        <v>0</v>
      </c>
      <c r="T188">
        <f t="shared" si="17"/>
        <v>0</v>
      </c>
    </row>
    <row r="189" spans="1:20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O189">
        <f t="shared" si="12"/>
        <v>1</v>
      </c>
      <c r="P189">
        <f t="shared" si="13"/>
        <v>0</v>
      </c>
      <c r="Q189">
        <f t="shared" si="14"/>
        <v>0</v>
      </c>
      <c r="R189">
        <f t="shared" si="15"/>
        <v>1</v>
      </c>
      <c r="S189">
        <f t="shared" si="16"/>
        <v>0</v>
      </c>
      <c r="T189">
        <f t="shared" si="17"/>
        <v>0</v>
      </c>
    </row>
    <row r="190" spans="1:20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O190">
        <f t="shared" si="12"/>
        <v>1</v>
      </c>
      <c r="P190">
        <f t="shared" si="13"/>
        <v>0</v>
      </c>
      <c r="Q190">
        <f t="shared" si="14"/>
        <v>0</v>
      </c>
      <c r="R190">
        <f t="shared" si="15"/>
        <v>0</v>
      </c>
      <c r="S190">
        <f t="shared" si="16"/>
        <v>0</v>
      </c>
      <c r="T190">
        <f t="shared" si="17"/>
        <v>1</v>
      </c>
    </row>
    <row r="191" spans="1:20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O191">
        <f t="shared" si="12"/>
        <v>1</v>
      </c>
      <c r="P191">
        <f t="shared" si="13"/>
        <v>0</v>
      </c>
      <c r="Q191">
        <f t="shared" si="14"/>
        <v>0</v>
      </c>
      <c r="R191">
        <f t="shared" si="15"/>
        <v>0</v>
      </c>
      <c r="S191">
        <f t="shared" si="16"/>
        <v>0</v>
      </c>
      <c r="T191">
        <f t="shared" si="17"/>
        <v>1</v>
      </c>
    </row>
    <row r="192" spans="1:20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O192">
        <f t="shared" si="12"/>
        <v>1</v>
      </c>
      <c r="P192">
        <f t="shared" si="13"/>
        <v>0</v>
      </c>
      <c r="Q192">
        <f t="shared" si="14"/>
        <v>0</v>
      </c>
      <c r="R192">
        <f t="shared" si="15"/>
        <v>0</v>
      </c>
      <c r="S192">
        <f t="shared" si="16"/>
        <v>0</v>
      </c>
      <c r="T192">
        <f t="shared" si="17"/>
        <v>1</v>
      </c>
    </row>
    <row r="193" spans="1:20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O193">
        <f t="shared" si="12"/>
        <v>1</v>
      </c>
      <c r="P193">
        <f t="shared" si="13"/>
        <v>0</v>
      </c>
      <c r="Q193">
        <f t="shared" si="14"/>
        <v>0</v>
      </c>
      <c r="R193">
        <f t="shared" si="15"/>
        <v>0</v>
      </c>
      <c r="S193">
        <f t="shared" si="16"/>
        <v>0</v>
      </c>
      <c r="T193">
        <f t="shared" si="17"/>
        <v>1</v>
      </c>
    </row>
    <row r="194" spans="1:20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O194">
        <f t="shared" si="12"/>
        <v>0</v>
      </c>
      <c r="P194">
        <f t="shared" si="13"/>
        <v>0</v>
      </c>
      <c r="Q194">
        <f t="shared" si="14"/>
        <v>0</v>
      </c>
      <c r="R194">
        <f t="shared" si="15"/>
        <v>0</v>
      </c>
      <c r="S194">
        <f t="shared" si="16"/>
        <v>0</v>
      </c>
      <c r="T194">
        <f t="shared" si="17"/>
        <v>0</v>
      </c>
    </row>
    <row r="195" spans="1:20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O195">
        <f t="shared" ref="O195:O258" si="18">IF($D195="High Street",1,0)</f>
        <v>0</v>
      </c>
      <c r="P195">
        <f t="shared" ref="P195:P258" si="19">IF($D195="Mall",1,0)</f>
        <v>0</v>
      </c>
      <c r="Q195">
        <f t="shared" ref="Q195:Q258" si="20">IF($D195="Airport",1,0)</f>
        <v>0</v>
      </c>
      <c r="R195">
        <f t="shared" ref="R195:R258" si="21">IF($C195="North",1,0)</f>
        <v>0</v>
      </c>
      <c r="S195">
        <f t="shared" ref="S195:S258" si="22">IF($C195="South",1,0)</f>
        <v>0</v>
      </c>
      <c r="T195">
        <f t="shared" ref="T195:T258" si="23">IF($C195="East",1,0)</f>
        <v>0</v>
      </c>
    </row>
    <row r="196" spans="1:20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O196">
        <f t="shared" si="18"/>
        <v>0</v>
      </c>
      <c r="P196">
        <f t="shared" si="19"/>
        <v>0</v>
      </c>
      <c r="Q196">
        <f t="shared" si="20"/>
        <v>0</v>
      </c>
      <c r="R196">
        <f t="shared" si="21"/>
        <v>0</v>
      </c>
      <c r="S196">
        <f t="shared" si="22"/>
        <v>0</v>
      </c>
      <c r="T196">
        <f t="shared" si="23"/>
        <v>0</v>
      </c>
    </row>
    <row r="197" spans="1:20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</v>
      </c>
      <c r="M197">
        <v>449465.06</v>
      </c>
      <c r="N197">
        <v>65694.78</v>
      </c>
      <c r="O197">
        <f t="shared" si="18"/>
        <v>0</v>
      </c>
      <c r="P197">
        <f t="shared" si="19"/>
        <v>0</v>
      </c>
      <c r="Q197">
        <f t="shared" si="20"/>
        <v>0</v>
      </c>
      <c r="R197">
        <f t="shared" si="21"/>
        <v>0</v>
      </c>
      <c r="S197">
        <f t="shared" si="22"/>
        <v>0</v>
      </c>
      <c r="T197">
        <f t="shared" si="23"/>
        <v>0</v>
      </c>
    </row>
    <row r="198" spans="1:20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O198">
        <f t="shared" si="18"/>
        <v>0</v>
      </c>
      <c r="P198">
        <f t="shared" si="19"/>
        <v>0</v>
      </c>
      <c r="Q198">
        <f t="shared" si="20"/>
        <v>0</v>
      </c>
      <c r="R198">
        <f t="shared" si="21"/>
        <v>1</v>
      </c>
      <c r="S198">
        <f t="shared" si="22"/>
        <v>0</v>
      </c>
      <c r="T198">
        <f t="shared" si="23"/>
        <v>0</v>
      </c>
    </row>
    <row r="199" spans="1:20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O199">
        <f t="shared" si="18"/>
        <v>0</v>
      </c>
      <c r="P199">
        <f t="shared" si="19"/>
        <v>0</v>
      </c>
      <c r="Q199">
        <f t="shared" si="20"/>
        <v>0</v>
      </c>
      <c r="R199">
        <f t="shared" si="21"/>
        <v>1</v>
      </c>
      <c r="S199">
        <f t="shared" si="22"/>
        <v>0</v>
      </c>
      <c r="T199">
        <f t="shared" si="23"/>
        <v>0</v>
      </c>
    </row>
    <row r="200" spans="1:20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O200">
        <f t="shared" si="18"/>
        <v>0</v>
      </c>
      <c r="P200">
        <f t="shared" si="19"/>
        <v>0</v>
      </c>
      <c r="Q200">
        <f t="shared" si="20"/>
        <v>0</v>
      </c>
      <c r="R200">
        <f t="shared" si="21"/>
        <v>1</v>
      </c>
      <c r="S200">
        <f t="shared" si="22"/>
        <v>0</v>
      </c>
      <c r="T200">
        <f t="shared" si="23"/>
        <v>0</v>
      </c>
    </row>
    <row r="201" spans="1:20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O201">
        <f t="shared" si="18"/>
        <v>0</v>
      </c>
      <c r="P201">
        <f t="shared" si="19"/>
        <v>0</v>
      </c>
      <c r="Q201">
        <f t="shared" si="20"/>
        <v>0</v>
      </c>
      <c r="R201">
        <f t="shared" si="21"/>
        <v>1</v>
      </c>
      <c r="S201">
        <f t="shared" si="22"/>
        <v>0</v>
      </c>
      <c r="T201">
        <f t="shared" si="23"/>
        <v>0</v>
      </c>
    </row>
    <row r="202" spans="1:20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O202">
        <f t="shared" si="18"/>
        <v>0</v>
      </c>
      <c r="P202">
        <f t="shared" si="19"/>
        <v>0</v>
      </c>
      <c r="Q202">
        <f t="shared" si="20"/>
        <v>1</v>
      </c>
      <c r="R202">
        <f t="shared" si="21"/>
        <v>0</v>
      </c>
      <c r="S202">
        <f t="shared" si="22"/>
        <v>0</v>
      </c>
      <c r="T202">
        <f t="shared" si="23"/>
        <v>1</v>
      </c>
    </row>
    <row r="203" spans="1:20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O203">
        <f t="shared" si="18"/>
        <v>0</v>
      </c>
      <c r="P203">
        <f t="shared" si="19"/>
        <v>0</v>
      </c>
      <c r="Q203">
        <f t="shared" si="20"/>
        <v>1</v>
      </c>
      <c r="R203">
        <f t="shared" si="21"/>
        <v>0</v>
      </c>
      <c r="S203">
        <f t="shared" si="22"/>
        <v>0</v>
      </c>
      <c r="T203">
        <f t="shared" si="23"/>
        <v>1</v>
      </c>
    </row>
    <row r="204" spans="1:20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O204">
        <f t="shared" si="18"/>
        <v>0</v>
      </c>
      <c r="P204">
        <f t="shared" si="19"/>
        <v>0</v>
      </c>
      <c r="Q204">
        <f t="shared" si="20"/>
        <v>1</v>
      </c>
      <c r="R204">
        <f t="shared" si="21"/>
        <v>0</v>
      </c>
      <c r="S204">
        <f t="shared" si="22"/>
        <v>0</v>
      </c>
      <c r="T204">
        <f t="shared" si="23"/>
        <v>1</v>
      </c>
    </row>
    <row r="205" spans="1:20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O205">
        <f t="shared" si="18"/>
        <v>0</v>
      </c>
      <c r="P205">
        <f t="shared" si="19"/>
        <v>0</v>
      </c>
      <c r="Q205">
        <f t="shared" si="20"/>
        <v>1</v>
      </c>
      <c r="R205">
        <f t="shared" si="21"/>
        <v>0</v>
      </c>
      <c r="S205">
        <f t="shared" si="22"/>
        <v>0</v>
      </c>
      <c r="T205">
        <f t="shared" si="23"/>
        <v>1</v>
      </c>
    </row>
    <row r="206" spans="1:20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O206">
        <f t="shared" si="18"/>
        <v>0</v>
      </c>
      <c r="P206">
        <f t="shared" si="19"/>
        <v>1</v>
      </c>
      <c r="Q206">
        <f t="shared" si="20"/>
        <v>0</v>
      </c>
      <c r="R206">
        <f t="shared" si="21"/>
        <v>0</v>
      </c>
      <c r="S206">
        <f t="shared" si="22"/>
        <v>0</v>
      </c>
      <c r="T206">
        <f t="shared" si="23"/>
        <v>1</v>
      </c>
    </row>
    <row r="207" spans="1:20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O207">
        <f t="shared" si="18"/>
        <v>0</v>
      </c>
      <c r="P207">
        <f t="shared" si="19"/>
        <v>1</v>
      </c>
      <c r="Q207">
        <f t="shared" si="20"/>
        <v>0</v>
      </c>
      <c r="R207">
        <f t="shared" si="21"/>
        <v>0</v>
      </c>
      <c r="S207">
        <f t="shared" si="22"/>
        <v>0</v>
      </c>
      <c r="T207">
        <f t="shared" si="23"/>
        <v>1</v>
      </c>
    </row>
    <row r="208" spans="1:20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O208">
        <f t="shared" si="18"/>
        <v>0</v>
      </c>
      <c r="P208">
        <f t="shared" si="19"/>
        <v>1</v>
      </c>
      <c r="Q208">
        <f t="shared" si="20"/>
        <v>0</v>
      </c>
      <c r="R208">
        <f t="shared" si="21"/>
        <v>0</v>
      </c>
      <c r="S208">
        <f t="shared" si="22"/>
        <v>0</v>
      </c>
      <c r="T208">
        <f t="shared" si="23"/>
        <v>1</v>
      </c>
    </row>
    <row r="209" spans="1:20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O209">
        <f t="shared" si="18"/>
        <v>0</v>
      </c>
      <c r="P209">
        <f t="shared" si="19"/>
        <v>1</v>
      </c>
      <c r="Q209">
        <f t="shared" si="20"/>
        <v>0</v>
      </c>
      <c r="R209">
        <f t="shared" si="21"/>
        <v>0</v>
      </c>
      <c r="S209">
        <f t="shared" si="22"/>
        <v>0</v>
      </c>
      <c r="T209">
        <f t="shared" si="23"/>
        <v>1</v>
      </c>
    </row>
    <row r="210" spans="1:20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O210">
        <f t="shared" si="18"/>
        <v>1</v>
      </c>
      <c r="P210">
        <f t="shared" si="19"/>
        <v>0</v>
      </c>
      <c r="Q210">
        <f t="shared" si="20"/>
        <v>0</v>
      </c>
      <c r="R210">
        <f t="shared" si="21"/>
        <v>0</v>
      </c>
      <c r="S210">
        <f t="shared" si="22"/>
        <v>0</v>
      </c>
      <c r="T210">
        <f t="shared" si="23"/>
        <v>1</v>
      </c>
    </row>
    <row r="211" spans="1:20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O211">
        <f t="shared" si="18"/>
        <v>1</v>
      </c>
      <c r="P211">
        <f t="shared" si="19"/>
        <v>0</v>
      </c>
      <c r="Q211">
        <f t="shared" si="20"/>
        <v>0</v>
      </c>
      <c r="R211">
        <f t="shared" si="21"/>
        <v>0</v>
      </c>
      <c r="S211">
        <f t="shared" si="22"/>
        <v>0</v>
      </c>
      <c r="T211">
        <f t="shared" si="23"/>
        <v>1</v>
      </c>
    </row>
    <row r="212" spans="1:20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O212">
        <f t="shared" si="18"/>
        <v>1</v>
      </c>
      <c r="P212">
        <f t="shared" si="19"/>
        <v>0</v>
      </c>
      <c r="Q212">
        <f t="shared" si="20"/>
        <v>0</v>
      </c>
      <c r="R212">
        <f t="shared" si="21"/>
        <v>0</v>
      </c>
      <c r="S212">
        <f t="shared" si="22"/>
        <v>0</v>
      </c>
      <c r="T212">
        <f t="shared" si="23"/>
        <v>1</v>
      </c>
    </row>
    <row r="213" spans="1:20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O213">
        <f t="shared" si="18"/>
        <v>1</v>
      </c>
      <c r="P213">
        <f t="shared" si="19"/>
        <v>0</v>
      </c>
      <c r="Q213">
        <f t="shared" si="20"/>
        <v>0</v>
      </c>
      <c r="R213">
        <f t="shared" si="21"/>
        <v>0</v>
      </c>
      <c r="S213">
        <f t="shared" si="22"/>
        <v>0</v>
      </c>
      <c r="T213">
        <f t="shared" si="23"/>
        <v>1</v>
      </c>
    </row>
    <row r="214" spans="1:20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>
        <f t="shared" si="18"/>
        <v>0</v>
      </c>
      <c r="P214">
        <f t="shared" si="19"/>
        <v>0</v>
      </c>
      <c r="Q214">
        <f t="shared" si="20"/>
        <v>0</v>
      </c>
      <c r="R214">
        <f t="shared" si="21"/>
        <v>0</v>
      </c>
      <c r="S214">
        <f t="shared" si="22"/>
        <v>0</v>
      </c>
      <c r="T214">
        <f t="shared" si="23"/>
        <v>0</v>
      </c>
    </row>
    <row r="215" spans="1:20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O215">
        <f t="shared" si="18"/>
        <v>0</v>
      </c>
      <c r="P215">
        <f t="shared" si="19"/>
        <v>0</v>
      </c>
      <c r="Q215">
        <f t="shared" si="20"/>
        <v>0</v>
      </c>
      <c r="R215">
        <f t="shared" si="21"/>
        <v>0</v>
      </c>
      <c r="S215">
        <f t="shared" si="22"/>
        <v>0</v>
      </c>
      <c r="T215">
        <f t="shared" si="23"/>
        <v>0</v>
      </c>
    </row>
    <row r="216" spans="1:20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O216">
        <f t="shared" si="18"/>
        <v>0</v>
      </c>
      <c r="P216">
        <f t="shared" si="19"/>
        <v>0</v>
      </c>
      <c r="Q216">
        <f t="shared" si="20"/>
        <v>0</v>
      </c>
      <c r="R216">
        <f t="shared" si="21"/>
        <v>0</v>
      </c>
      <c r="S216">
        <f t="shared" si="22"/>
        <v>0</v>
      </c>
      <c r="T216">
        <f t="shared" si="23"/>
        <v>0</v>
      </c>
    </row>
    <row r="217" spans="1:20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O217">
        <f t="shared" si="18"/>
        <v>0</v>
      </c>
      <c r="P217">
        <f t="shared" si="19"/>
        <v>0</v>
      </c>
      <c r="Q217">
        <f t="shared" si="20"/>
        <v>0</v>
      </c>
      <c r="R217">
        <f t="shared" si="21"/>
        <v>0</v>
      </c>
      <c r="S217">
        <f t="shared" si="22"/>
        <v>0</v>
      </c>
      <c r="T217">
        <f t="shared" si="23"/>
        <v>0</v>
      </c>
    </row>
    <row r="218" spans="1:20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O218">
        <f t="shared" si="18"/>
        <v>0</v>
      </c>
      <c r="P218">
        <f t="shared" si="19"/>
        <v>0</v>
      </c>
      <c r="Q218">
        <f t="shared" si="20"/>
        <v>1</v>
      </c>
      <c r="R218">
        <f t="shared" si="21"/>
        <v>1</v>
      </c>
      <c r="S218">
        <f t="shared" si="22"/>
        <v>0</v>
      </c>
      <c r="T218">
        <f t="shared" si="23"/>
        <v>0</v>
      </c>
    </row>
    <row r="219" spans="1:20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O219">
        <f t="shared" si="18"/>
        <v>0</v>
      </c>
      <c r="P219">
        <f t="shared" si="19"/>
        <v>0</v>
      </c>
      <c r="Q219">
        <f t="shared" si="20"/>
        <v>1</v>
      </c>
      <c r="R219">
        <f t="shared" si="21"/>
        <v>1</v>
      </c>
      <c r="S219">
        <f t="shared" si="22"/>
        <v>0</v>
      </c>
      <c r="T219">
        <f t="shared" si="23"/>
        <v>0</v>
      </c>
    </row>
    <row r="220" spans="1:20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O220">
        <f t="shared" si="18"/>
        <v>0</v>
      </c>
      <c r="P220">
        <f t="shared" si="19"/>
        <v>0</v>
      </c>
      <c r="Q220">
        <f t="shared" si="20"/>
        <v>1</v>
      </c>
      <c r="R220">
        <f t="shared" si="21"/>
        <v>1</v>
      </c>
      <c r="S220">
        <f t="shared" si="22"/>
        <v>0</v>
      </c>
      <c r="T220">
        <f t="shared" si="23"/>
        <v>0</v>
      </c>
    </row>
    <row r="221" spans="1:20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O221">
        <f t="shared" si="18"/>
        <v>0</v>
      </c>
      <c r="P221">
        <f t="shared" si="19"/>
        <v>0</v>
      </c>
      <c r="Q221">
        <f t="shared" si="20"/>
        <v>1</v>
      </c>
      <c r="R221">
        <f t="shared" si="21"/>
        <v>1</v>
      </c>
      <c r="S221">
        <f t="shared" si="22"/>
        <v>0</v>
      </c>
      <c r="T221">
        <f t="shared" si="23"/>
        <v>0</v>
      </c>
    </row>
    <row r="222" spans="1:20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O222">
        <f t="shared" si="18"/>
        <v>1</v>
      </c>
      <c r="P222">
        <f t="shared" si="19"/>
        <v>0</v>
      </c>
      <c r="Q222">
        <f t="shared" si="20"/>
        <v>0</v>
      </c>
      <c r="R222">
        <f t="shared" si="21"/>
        <v>0</v>
      </c>
      <c r="S222">
        <f t="shared" si="22"/>
        <v>0</v>
      </c>
      <c r="T222">
        <f t="shared" si="23"/>
        <v>1</v>
      </c>
    </row>
    <row r="223" spans="1:20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O223">
        <f t="shared" si="18"/>
        <v>1</v>
      </c>
      <c r="P223">
        <f t="shared" si="19"/>
        <v>0</v>
      </c>
      <c r="Q223">
        <f t="shared" si="20"/>
        <v>0</v>
      </c>
      <c r="R223">
        <f t="shared" si="21"/>
        <v>0</v>
      </c>
      <c r="S223">
        <f t="shared" si="22"/>
        <v>0</v>
      </c>
      <c r="T223">
        <f t="shared" si="23"/>
        <v>1</v>
      </c>
    </row>
    <row r="224" spans="1:20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O224">
        <f t="shared" si="18"/>
        <v>1</v>
      </c>
      <c r="P224">
        <f t="shared" si="19"/>
        <v>0</v>
      </c>
      <c r="Q224">
        <f t="shared" si="20"/>
        <v>0</v>
      </c>
      <c r="R224">
        <f t="shared" si="21"/>
        <v>0</v>
      </c>
      <c r="S224">
        <f t="shared" si="22"/>
        <v>0</v>
      </c>
      <c r="T224">
        <f t="shared" si="23"/>
        <v>1</v>
      </c>
    </row>
    <row r="225" spans="1:20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O225">
        <f t="shared" si="18"/>
        <v>1</v>
      </c>
      <c r="P225">
        <f t="shared" si="19"/>
        <v>0</v>
      </c>
      <c r="Q225">
        <f t="shared" si="20"/>
        <v>0</v>
      </c>
      <c r="R225">
        <f t="shared" si="21"/>
        <v>0</v>
      </c>
      <c r="S225">
        <f t="shared" si="22"/>
        <v>0</v>
      </c>
      <c r="T225">
        <f t="shared" si="23"/>
        <v>1</v>
      </c>
    </row>
    <row r="226" spans="1:20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O226">
        <f t="shared" si="18"/>
        <v>0</v>
      </c>
      <c r="P226">
        <f t="shared" si="19"/>
        <v>1</v>
      </c>
      <c r="Q226">
        <f t="shared" si="20"/>
        <v>0</v>
      </c>
      <c r="R226">
        <f t="shared" si="21"/>
        <v>0</v>
      </c>
      <c r="S226">
        <f t="shared" si="22"/>
        <v>0</v>
      </c>
      <c r="T226">
        <f t="shared" si="23"/>
        <v>1</v>
      </c>
    </row>
    <row r="227" spans="1:20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O227">
        <f t="shared" si="18"/>
        <v>0</v>
      </c>
      <c r="P227">
        <f t="shared" si="19"/>
        <v>1</v>
      </c>
      <c r="Q227">
        <f t="shared" si="20"/>
        <v>0</v>
      </c>
      <c r="R227">
        <f t="shared" si="21"/>
        <v>0</v>
      </c>
      <c r="S227">
        <f t="shared" si="22"/>
        <v>0</v>
      </c>
      <c r="T227">
        <f t="shared" si="23"/>
        <v>1</v>
      </c>
    </row>
    <row r="228" spans="1:20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O228">
        <f t="shared" si="18"/>
        <v>0</v>
      </c>
      <c r="P228">
        <f t="shared" si="19"/>
        <v>1</v>
      </c>
      <c r="Q228">
        <f t="shared" si="20"/>
        <v>0</v>
      </c>
      <c r="R228">
        <f t="shared" si="21"/>
        <v>0</v>
      </c>
      <c r="S228">
        <f t="shared" si="22"/>
        <v>0</v>
      </c>
      <c r="T228">
        <f t="shared" si="23"/>
        <v>1</v>
      </c>
    </row>
    <row r="229" spans="1:20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</v>
      </c>
      <c r="M229">
        <v>529598.93999999994</v>
      </c>
      <c r="N229">
        <v>84334.33</v>
      </c>
      <c r="O229">
        <f t="shared" si="18"/>
        <v>0</v>
      </c>
      <c r="P229">
        <f t="shared" si="19"/>
        <v>1</v>
      </c>
      <c r="Q229">
        <f t="shared" si="20"/>
        <v>0</v>
      </c>
      <c r="R229">
        <f t="shared" si="21"/>
        <v>0</v>
      </c>
      <c r="S229">
        <f t="shared" si="22"/>
        <v>0</v>
      </c>
      <c r="T229">
        <f t="shared" si="23"/>
        <v>1</v>
      </c>
    </row>
    <row r="230" spans="1:20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O230">
        <f t="shared" si="18"/>
        <v>1</v>
      </c>
      <c r="P230">
        <f t="shared" si="19"/>
        <v>0</v>
      </c>
      <c r="Q230">
        <f t="shared" si="20"/>
        <v>0</v>
      </c>
      <c r="R230">
        <f t="shared" si="21"/>
        <v>0</v>
      </c>
      <c r="S230">
        <f t="shared" si="22"/>
        <v>0</v>
      </c>
      <c r="T230">
        <f t="shared" si="23"/>
        <v>1</v>
      </c>
    </row>
    <row r="231" spans="1:20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O231">
        <f t="shared" si="18"/>
        <v>1</v>
      </c>
      <c r="P231">
        <f t="shared" si="19"/>
        <v>0</v>
      </c>
      <c r="Q231">
        <f t="shared" si="20"/>
        <v>0</v>
      </c>
      <c r="R231">
        <f t="shared" si="21"/>
        <v>0</v>
      </c>
      <c r="S231">
        <f t="shared" si="22"/>
        <v>0</v>
      </c>
      <c r="T231">
        <f t="shared" si="23"/>
        <v>1</v>
      </c>
    </row>
    <row r="232" spans="1:20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O232">
        <f t="shared" si="18"/>
        <v>1</v>
      </c>
      <c r="P232">
        <f t="shared" si="19"/>
        <v>0</v>
      </c>
      <c r="Q232">
        <f t="shared" si="20"/>
        <v>0</v>
      </c>
      <c r="R232">
        <f t="shared" si="21"/>
        <v>0</v>
      </c>
      <c r="S232">
        <f t="shared" si="22"/>
        <v>0</v>
      </c>
      <c r="T232">
        <f t="shared" si="23"/>
        <v>1</v>
      </c>
    </row>
    <row r="233" spans="1:20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3.3650000000000002</v>
      </c>
      <c r="K233">
        <v>0</v>
      </c>
      <c r="L233">
        <v>3.7</v>
      </c>
      <c r="M233">
        <v>647512.85</v>
      </c>
      <c r="N233">
        <v>153835.57</v>
      </c>
      <c r="O233">
        <f t="shared" si="18"/>
        <v>1</v>
      </c>
      <c r="P233">
        <f t="shared" si="19"/>
        <v>0</v>
      </c>
      <c r="Q233">
        <f t="shared" si="20"/>
        <v>0</v>
      </c>
      <c r="R233">
        <f t="shared" si="21"/>
        <v>0</v>
      </c>
      <c r="S233">
        <f t="shared" si="22"/>
        <v>0</v>
      </c>
      <c r="T233">
        <f t="shared" si="23"/>
        <v>1</v>
      </c>
    </row>
    <row r="234" spans="1:20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O234">
        <f t="shared" si="18"/>
        <v>0</v>
      </c>
      <c r="P234">
        <f t="shared" si="19"/>
        <v>0</v>
      </c>
      <c r="Q234">
        <f t="shared" si="20"/>
        <v>0</v>
      </c>
      <c r="R234">
        <f t="shared" si="21"/>
        <v>0</v>
      </c>
      <c r="S234">
        <f t="shared" si="22"/>
        <v>0</v>
      </c>
      <c r="T234">
        <f t="shared" si="23"/>
        <v>0</v>
      </c>
    </row>
    <row r="235" spans="1:20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O235">
        <f t="shared" si="18"/>
        <v>0</v>
      </c>
      <c r="P235">
        <f t="shared" si="19"/>
        <v>0</v>
      </c>
      <c r="Q235">
        <f t="shared" si="20"/>
        <v>0</v>
      </c>
      <c r="R235">
        <f t="shared" si="21"/>
        <v>0</v>
      </c>
      <c r="S235">
        <f t="shared" si="22"/>
        <v>0</v>
      </c>
      <c r="T235">
        <f t="shared" si="23"/>
        <v>0</v>
      </c>
    </row>
    <row r="236" spans="1:20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O236">
        <f t="shared" si="18"/>
        <v>0</v>
      </c>
      <c r="P236">
        <f t="shared" si="19"/>
        <v>0</v>
      </c>
      <c r="Q236">
        <f t="shared" si="20"/>
        <v>0</v>
      </c>
      <c r="R236">
        <f t="shared" si="21"/>
        <v>0</v>
      </c>
      <c r="S236">
        <f t="shared" si="22"/>
        <v>0</v>
      </c>
      <c r="T236">
        <f t="shared" si="23"/>
        <v>0</v>
      </c>
    </row>
    <row r="237" spans="1:20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O237">
        <f t="shared" si="18"/>
        <v>0</v>
      </c>
      <c r="P237">
        <f t="shared" si="19"/>
        <v>0</v>
      </c>
      <c r="Q237">
        <f t="shared" si="20"/>
        <v>0</v>
      </c>
      <c r="R237">
        <f t="shared" si="21"/>
        <v>0</v>
      </c>
      <c r="S237">
        <f t="shared" si="22"/>
        <v>0</v>
      </c>
      <c r="T237">
        <f t="shared" si="23"/>
        <v>0</v>
      </c>
    </row>
    <row r="238" spans="1:20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O238">
        <f t="shared" si="18"/>
        <v>0</v>
      </c>
      <c r="P238">
        <f t="shared" si="19"/>
        <v>1</v>
      </c>
      <c r="Q238">
        <f t="shared" si="20"/>
        <v>0</v>
      </c>
      <c r="R238">
        <f t="shared" si="21"/>
        <v>0</v>
      </c>
      <c r="S238">
        <f t="shared" si="22"/>
        <v>0</v>
      </c>
      <c r="T238">
        <f t="shared" si="23"/>
        <v>0</v>
      </c>
    </row>
    <row r="239" spans="1:20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O239">
        <f t="shared" si="18"/>
        <v>0</v>
      </c>
      <c r="P239">
        <f t="shared" si="19"/>
        <v>1</v>
      </c>
      <c r="Q239">
        <f t="shared" si="20"/>
        <v>0</v>
      </c>
      <c r="R239">
        <f t="shared" si="21"/>
        <v>0</v>
      </c>
      <c r="S239">
        <f t="shared" si="22"/>
        <v>0</v>
      </c>
      <c r="T239">
        <f t="shared" si="23"/>
        <v>0</v>
      </c>
    </row>
    <row r="240" spans="1:20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O240">
        <f t="shared" si="18"/>
        <v>0</v>
      </c>
      <c r="P240">
        <f t="shared" si="19"/>
        <v>1</v>
      </c>
      <c r="Q240">
        <f t="shared" si="20"/>
        <v>0</v>
      </c>
      <c r="R240">
        <f t="shared" si="21"/>
        <v>0</v>
      </c>
      <c r="S240">
        <f t="shared" si="22"/>
        <v>0</v>
      </c>
      <c r="T240">
        <f t="shared" si="23"/>
        <v>0</v>
      </c>
    </row>
    <row r="241" spans="1:20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O241">
        <f t="shared" si="18"/>
        <v>0</v>
      </c>
      <c r="P241">
        <f t="shared" si="19"/>
        <v>1</v>
      </c>
      <c r="Q241">
        <f t="shared" si="20"/>
        <v>0</v>
      </c>
      <c r="R241">
        <f t="shared" si="21"/>
        <v>0</v>
      </c>
      <c r="S241">
        <f t="shared" si="22"/>
        <v>0</v>
      </c>
      <c r="T241">
        <f t="shared" si="23"/>
        <v>0</v>
      </c>
    </row>
    <row r="242" spans="1:20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O242">
        <f t="shared" si="18"/>
        <v>0</v>
      </c>
      <c r="P242">
        <f t="shared" si="19"/>
        <v>0</v>
      </c>
      <c r="Q242">
        <f t="shared" si="20"/>
        <v>1</v>
      </c>
      <c r="R242">
        <f t="shared" si="21"/>
        <v>0</v>
      </c>
      <c r="S242">
        <f t="shared" si="22"/>
        <v>1</v>
      </c>
      <c r="T242">
        <f t="shared" si="23"/>
        <v>0</v>
      </c>
    </row>
    <row r="243" spans="1:20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O243">
        <f t="shared" si="18"/>
        <v>0</v>
      </c>
      <c r="P243">
        <f t="shared" si="19"/>
        <v>0</v>
      </c>
      <c r="Q243">
        <f t="shared" si="20"/>
        <v>1</v>
      </c>
      <c r="R243">
        <f t="shared" si="21"/>
        <v>0</v>
      </c>
      <c r="S243">
        <f t="shared" si="22"/>
        <v>1</v>
      </c>
      <c r="T243">
        <f t="shared" si="23"/>
        <v>0</v>
      </c>
    </row>
    <row r="244" spans="1:20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O244">
        <f t="shared" si="18"/>
        <v>0</v>
      </c>
      <c r="P244">
        <f t="shared" si="19"/>
        <v>0</v>
      </c>
      <c r="Q244">
        <f t="shared" si="20"/>
        <v>1</v>
      </c>
      <c r="R244">
        <f t="shared" si="21"/>
        <v>0</v>
      </c>
      <c r="S244">
        <f t="shared" si="22"/>
        <v>1</v>
      </c>
      <c r="T244">
        <f t="shared" si="23"/>
        <v>0</v>
      </c>
    </row>
    <row r="245" spans="1:20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O245">
        <f t="shared" si="18"/>
        <v>0</v>
      </c>
      <c r="P245">
        <f t="shared" si="19"/>
        <v>0</v>
      </c>
      <c r="Q245">
        <f t="shared" si="20"/>
        <v>1</v>
      </c>
      <c r="R245">
        <f t="shared" si="21"/>
        <v>0</v>
      </c>
      <c r="S245">
        <f t="shared" si="22"/>
        <v>1</v>
      </c>
      <c r="T245">
        <f t="shared" si="23"/>
        <v>0</v>
      </c>
    </row>
    <row r="246" spans="1:20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O246">
        <f t="shared" si="18"/>
        <v>1</v>
      </c>
      <c r="P246">
        <f t="shared" si="19"/>
        <v>0</v>
      </c>
      <c r="Q246">
        <f t="shared" si="20"/>
        <v>0</v>
      </c>
      <c r="R246">
        <f t="shared" si="21"/>
        <v>0</v>
      </c>
      <c r="S246">
        <f t="shared" si="22"/>
        <v>0</v>
      </c>
      <c r="T246">
        <f t="shared" si="23"/>
        <v>1</v>
      </c>
    </row>
    <row r="247" spans="1:20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O247">
        <f t="shared" si="18"/>
        <v>1</v>
      </c>
      <c r="P247">
        <f t="shared" si="19"/>
        <v>0</v>
      </c>
      <c r="Q247">
        <f t="shared" si="20"/>
        <v>0</v>
      </c>
      <c r="R247">
        <f t="shared" si="21"/>
        <v>0</v>
      </c>
      <c r="S247">
        <f t="shared" si="22"/>
        <v>0</v>
      </c>
      <c r="T247">
        <f t="shared" si="23"/>
        <v>1</v>
      </c>
    </row>
    <row r="248" spans="1:20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O248">
        <f t="shared" si="18"/>
        <v>1</v>
      </c>
      <c r="P248">
        <f t="shared" si="19"/>
        <v>0</v>
      </c>
      <c r="Q248">
        <f t="shared" si="20"/>
        <v>0</v>
      </c>
      <c r="R248">
        <f t="shared" si="21"/>
        <v>0</v>
      </c>
      <c r="S248">
        <f t="shared" si="22"/>
        <v>0</v>
      </c>
      <c r="T248">
        <f t="shared" si="23"/>
        <v>1</v>
      </c>
    </row>
    <row r="249" spans="1:20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O249">
        <f t="shared" si="18"/>
        <v>1</v>
      </c>
      <c r="P249">
        <f t="shared" si="19"/>
        <v>0</v>
      </c>
      <c r="Q249">
        <f t="shared" si="20"/>
        <v>0</v>
      </c>
      <c r="R249">
        <f t="shared" si="21"/>
        <v>0</v>
      </c>
      <c r="S249">
        <f t="shared" si="22"/>
        <v>0</v>
      </c>
      <c r="T249">
        <f t="shared" si="23"/>
        <v>1</v>
      </c>
    </row>
    <row r="250" spans="1:20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3.3650000000000002</v>
      </c>
      <c r="K250">
        <v>0</v>
      </c>
      <c r="L250">
        <v>3.8</v>
      </c>
      <c r="M250">
        <v>606783.67000000004</v>
      </c>
      <c r="N250">
        <v>74515.87</v>
      </c>
      <c r="O250">
        <f t="shared" si="18"/>
        <v>1</v>
      </c>
      <c r="P250">
        <f t="shared" si="19"/>
        <v>0</v>
      </c>
      <c r="Q250">
        <f t="shared" si="20"/>
        <v>0</v>
      </c>
      <c r="R250">
        <f t="shared" si="21"/>
        <v>1</v>
      </c>
      <c r="S250">
        <f t="shared" si="22"/>
        <v>0</v>
      </c>
      <c r="T250">
        <f t="shared" si="23"/>
        <v>0</v>
      </c>
    </row>
    <row r="251" spans="1:20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O251">
        <f t="shared" si="18"/>
        <v>1</v>
      </c>
      <c r="P251">
        <f t="shared" si="19"/>
        <v>0</v>
      </c>
      <c r="Q251">
        <f t="shared" si="20"/>
        <v>0</v>
      </c>
      <c r="R251">
        <f t="shared" si="21"/>
        <v>1</v>
      </c>
      <c r="S251">
        <f t="shared" si="22"/>
        <v>0</v>
      </c>
      <c r="T251">
        <f t="shared" si="23"/>
        <v>0</v>
      </c>
    </row>
    <row r="252" spans="1:20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O252">
        <f t="shared" si="18"/>
        <v>1</v>
      </c>
      <c r="P252">
        <f t="shared" si="19"/>
        <v>0</v>
      </c>
      <c r="Q252">
        <f t="shared" si="20"/>
        <v>0</v>
      </c>
      <c r="R252">
        <f t="shared" si="21"/>
        <v>1</v>
      </c>
      <c r="S252">
        <f t="shared" si="22"/>
        <v>0</v>
      </c>
      <c r="T252">
        <f t="shared" si="23"/>
        <v>0</v>
      </c>
    </row>
    <row r="253" spans="1:20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O253">
        <f t="shared" si="18"/>
        <v>1</v>
      </c>
      <c r="P253">
        <f t="shared" si="19"/>
        <v>0</v>
      </c>
      <c r="Q253">
        <f t="shared" si="20"/>
        <v>0</v>
      </c>
      <c r="R253">
        <f t="shared" si="21"/>
        <v>1</v>
      </c>
      <c r="S253">
        <f t="shared" si="22"/>
        <v>0</v>
      </c>
      <c r="T253">
        <f t="shared" si="23"/>
        <v>0</v>
      </c>
    </row>
    <row r="254" spans="1:20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O254">
        <f t="shared" si="18"/>
        <v>0</v>
      </c>
      <c r="P254">
        <f t="shared" si="19"/>
        <v>0</v>
      </c>
      <c r="Q254">
        <f t="shared" si="20"/>
        <v>1</v>
      </c>
      <c r="R254">
        <f t="shared" si="21"/>
        <v>0</v>
      </c>
      <c r="S254">
        <f t="shared" si="22"/>
        <v>1</v>
      </c>
      <c r="T254">
        <f t="shared" si="23"/>
        <v>0</v>
      </c>
    </row>
    <row r="255" spans="1:20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O255">
        <f t="shared" si="18"/>
        <v>0</v>
      </c>
      <c r="P255">
        <f t="shared" si="19"/>
        <v>0</v>
      </c>
      <c r="Q255">
        <f t="shared" si="20"/>
        <v>1</v>
      </c>
      <c r="R255">
        <f t="shared" si="21"/>
        <v>0</v>
      </c>
      <c r="S255">
        <f t="shared" si="22"/>
        <v>1</v>
      </c>
      <c r="T255">
        <f t="shared" si="23"/>
        <v>0</v>
      </c>
    </row>
    <row r="256" spans="1:20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O256">
        <f t="shared" si="18"/>
        <v>0</v>
      </c>
      <c r="P256">
        <f t="shared" si="19"/>
        <v>0</v>
      </c>
      <c r="Q256">
        <f t="shared" si="20"/>
        <v>1</v>
      </c>
      <c r="R256">
        <f t="shared" si="21"/>
        <v>0</v>
      </c>
      <c r="S256">
        <f t="shared" si="22"/>
        <v>1</v>
      </c>
      <c r="T256">
        <f t="shared" si="23"/>
        <v>0</v>
      </c>
    </row>
    <row r="257" spans="1:20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O257">
        <f t="shared" si="18"/>
        <v>0</v>
      </c>
      <c r="P257">
        <f t="shared" si="19"/>
        <v>0</v>
      </c>
      <c r="Q257">
        <f t="shared" si="20"/>
        <v>1</v>
      </c>
      <c r="R257">
        <f t="shared" si="21"/>
        <v>0</v>
      </c>
      <c r="S257">
        <f t="shared" si="22"/>
        <v>1</v>
      </c>
      <c r="T257">
        <f t="shared" si="23"/>
        <v>0</v>
      </c>
    </row>
    <row r="258" spans="1:20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O258">
        <f t="shared" si="18"/>
        <v>0</v>
      </c>
      <c r="P258">
        <f t="shared" si="19"/>
        <v>1</v>
      </c>
      <c r="Q258">
        <f t="shared" si="20"/>
        <v>0</v>
      </c>
      <c r="R258">
        <f t="shared" si="21"/>
        <v>0</v>
      </c>
      <c r="S258">
        <f t="shared" si="22"/>
        <v>1</v>
      </c>
      <c r="T258">
        <f t="shared" si="23"/>
        <v>0</v>
      </c>
    </row>
    <row r="259" spans="1:20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O259">
        <f t="shared" ref="O259:O321" si="24">IF($D259="High Street",1,0)</f>
        <v>0</v>
      </c>
      <c r="P259">
        <f t="shared" ref="P259:P321" si="25">IF($D259="Mall",1,0)</f>
        <v>1</v>
      </c>
      <c r="Q259">
        <f t="shared" ref="Q259:Q321" si="26">IF($D259="Airport",1,0)</f>
        <v>0</v>
      </c>
      <c r="R259">
        <f t="shared" ref="R259:R321" si="27">IF($C259="North",1,0)</f>
        <v>0</v>
      </c>
      <c r="S259">
        <f t="shared" ref="S259:S321" si="28">IF($C259="South",1,0)</f>
        <v>1</v>
      </c>
      <c r="T259">
        <f t="shared" ref="T259:T321" si="29">IF($C259="East",1,0)</f>
        <v>0</v>
      </c>
    </row>
    <row r="260" spans="1:20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O260">
        <f t="shared" si="24"/>
        <v>0</v>
      </c>
      <c r="P260">
        <f t="shared" si="25"/>
        <v>1</v>
      </c>
      <c r="Q260">
        <f t="shared" si="26"/>
        <v>0</v>
      </c>
      <c r="R260">
        <f t="shared" si="27"/>
        <v>0</v>
      </c>
      <c r="S260">
        <f t="shared" si="28"/>
        <v>1</v>
      </c>
      <c r="T260">
        <f t="shared" si="29"/>
        <v>0</v>
      </c>
    </row>
    <row r="261" spans="1:20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O261">
        <f t="shared" si="24"/>
        <v>0</v>
      </c>
      <c r="P261">
        <f t="shared" si="25"/>
        <v>1</v>
      </c>
      <c r="Q261">
        <f t="shared" si="26"/>
        <v>0</v>
      </c>
      <c r="R261">
        <f t="shared" si="27"/>
        <v>0</v>
      </c>
      <c r="S261">
        <f t="shared" si="28"/>
        <v>1</v>
      </c>
      <c r="T261">
        <f t="shared" si="29"/>
        <v>0</v>
      </c>
    </row>
    <row r="262" spans="1:20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O262">
        <f t="shared" si="24"/>
        <v>1</v>
      </c>
      <c r="P262">
        <f t="shared" si="25"/>
        <v>0</v>
      </c>
      <c r="Q262">
        <f t="shared" si="26"/>
        <v>0</v>
      </c>
      <c r="R262">
        <f t="shared" si="27"/>
        <v>0</v>
      </c>
      <c r="S262">
        <f t="shared" si="28"/>
        <v>0</v>
      </c>
      <c r="T262">
        <f t="shared" si="29"/>
        <v>0</v>
      </c>
    </row>
    <row r="263" spans="1:20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3.3650000000000002</v>
      </c>
      <c r="K263">
        <v>0</v>
      </c>
      <c r="L263">
        <v>4.2</v>
      </c>
      <c r="M263">
        <v>605751.32999999996</v>
      </c>
      <c r="N263">
        <v>60685.53</v>
      </c>
      <c r="O263">
        <f t="shared" si="24"/>
        <v>1</v>
      </c>
      <c r="P263">
        <f t="shared" si="25"/>
        <v>0</v>
      </c>
      <c r="Q263">
        <f t="shared" si="26"/>
        <v>0</v>
      </c>
      <c r="R263">
        <f t="shared" si="27"/>
        <v>0</v>
      </c>
      <c r="S263">
        <f t="shared" si="28"/>
        <v>0</v>
      </c>
      <c r="T263">
        <f t="shared" si="29"/>
        <v>0</v>
      </c>
    </row>
    <row r="264" spans="1:20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O264">
        <f t="shared" si="24"/>
        <v>1</v>
      </c>
      <c r="P264">
        <f t="shared" si="25"/>
        <v>0</v>
      </c>
      <c r="Q264">
        <f t="shared" si="26"/>
        <v>0</v>
      </c>
      <c r="R264">
        <f t="shared" si="27"/>
        <v>0</v>
      </c>
      <c r="S264">
        <f t="shared" si="28"/>
        <v>0</v>
      </c>
      <c r="T264">
        <f t="shared" si="29"/>
        <v>0</v>
      </c>
    </row>
    <row r="265" spans="1:20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O265">
        <f t="shared" si="24"/>
        <v>1</v>
      </c>
      <c r="P265">
        <f t="shared" si="25"/>
        <v>0</v>
      </c>
      <c r="Q265">
        <f t="shared" si="26"/>
        <v>0</v>
      </c>
      <c r="R265">
        <f t="shared" si="27"/>
        <v>0</v>
      </c>
      <c r="S265">
        <f t="shared" si="28"/>
        <v>0</v>
      </c>
      <c r="T265">
        <f t="shared" si="29"/>
        <v>0</v>
      </c>
    </row>
    <row r="266" spans="1:20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O266">
        <f t="shared" si="24"/>
        <v>1</v>
      </c>
      <c r="P266">
        <f t="shared" si="25"/>
        <v>0</v>
      </c>
      <c r="Q266">
        <f t="shared" si="26"/>
        <v>0</v>
      </c>
      <c r="R266">
        <f t="shared" si="27"/>
        <v>0</v>
      </c>
      <c r="S266">
        <f t="shared" si="28"/>
        <v>0</v>
      </c>
      <c r="T266">
        <f t="shared" si="29"/>
        <v>1</v>
      </c>
    </row>
    <row r="267" spans="1:20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O267">
        <f t="shared" si="24"/>
        <v>1</v>
      </c>
      <c r="P267">
        <f t="shared" si="25"/>
        <v>0</v>
      </c>
      <c r="Q267">
        <f t="shared" si="26"/>
        <v>0</v>
      </c>
      <c r="R267">
        <f t="shared" si="27"/>
        <v>0</v>
      </c>
      <c r="S267">
        <f t="shared" si="28"/>
        <v>0</v>
      </c>
      <c r="T267">
        <f t="shared" si="29"/>
        <v>1</v>
      </c>
    </row>
    <row r="268" spans="1:20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O268">
        <f t="shared" si="24"/>
        <v>1</v>
      </c>
      <c r="P268">
        <f t="shared" si="25"/>
        <v>0</v>
      </c>
      <c r="Q268">
        <f t="shared" si="26"/>
        <v>0</v>
      </c>
      <c r="R268">
        <f t="shared" si="27"/>
        <v>0</v>
      </c>
      <c r="S268">
        <f t="shared" si="28"/>
        <v>0</v>
      </c>
      <c r="T268">
        <f t="shared" si="29"/>
        <v>1</v>
      </c>
    </row>
    <row r="269" spans="1:20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O269">
        <f t="shared" si="24"/>
        <v>1</v>
      </c>
      <c r="P269">
        <f t="shared" si="25"/>
        <v>0</v>
      </c>
      <c r="Q269">
        <f t="shared" si="26"/>
        <v>0</v>
      </c>
      <c r="R269">
        <f t="shared" si="27"/>
        <v>0</v>
      </c>
      <c r="S269">
        <f t="shared" si="28"/>
        <v>0</v>
      </c>
      <c r="T269">
        <f t="shared" si="29"/>
        <v>1</v>
      </c>
    </row>
    <row r="270" spans="1:20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O270">
        <f t="shared" si="24"/>
        <v>0</v>
      </c>
      <c r="P270">
        <f t="shared" si="25"/>
        <v>1</v>
      </c>
      <c r="Q270">
        <f t="shared" si="26"/>
        <v>0</v>
      </c>
      <c r="R270">
        <f t="shared" si="27"/>
        <v>0</v>
      </c>
      <c r="S270">
        <f t="shared" si="28"/>
        <v>0</v>
      </c>
      <c r="T270">
        <f t="shared" si="29"/>
        <v>1</v>
      </c>
    </row>
    <row r="271" spans="1:20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O271">
        <f t="shared" si="24"/>
        <v>0</v>
      </c>
      <c r="P271">
        <f t="shared" si="25"/>
        <v>1</v>
      </c>
      <c r="Q271">
        <f t="shared" si="26"/>
        <v>0</v>
      </c>
      <c r="R271">
        <f t="shared" si="27"/>
        <v>0</v>
      </c>
      <c r="S271">
        <f t="shared" si="28"/>
        <v>0</v>
      </c>
      <c r="T271">
        <f t="shared" si="29"/>
        <v>1</v>
      </c>
    </row>
    <row r="272" spans="1:20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O272">
        <f t="shared" si="24"/>
        <v>0</v>
      </c>
      <c r="P272">
        <f t="shared" si="25"/>
        <v>1</v>
      </c>
      <c r="Q272">
        <f t="shared" si="26"/>
        <v>0</v>
      </c>
      <c r="R272">
        <f t="shared" si="27"/>
        <v>0</v>
      </c>
      <c r="S272">
        <f t="shared" si="28"/>
        <v>0</v>
      </c>
      <c r="T272">
        <f t="shared" si="29"/>
        <v>1</v>
      </c>
    </row>
    <row r="273" spans="1:20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O273">
        <f t="shared" si="24"/>
        <v>0</v>
      </c>
      <c r="P273">
        <f t="shared" si="25"/>
        <v>1</v>
      </c>
      <c r="Q273">
        <f t="shared" si="26"/>
        <v>0</v>
      </c>
      <c r="R273">
        <f t="shared" si="27"/>
        <v>0</v>
      </c>
      <c r="S273">
        <f t="shared" si="28"/>
        <v>0</v>
      </c>
      <c r="T273">
        <f t="shared" si="29"/>
        <v>1</v>
      </c>
    </row>
    <row r="274" spans="1:20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O274">
        <f t="shared" si="24"/>
        <v>1</v>
      </c>
      <c r="P274">
        <f t="shared" si="25"/>
        <v>0</v>
      </c>
      <c r="Q274">
        <f t="shared" si="26"/>
        <v>0</v>
      </c>
      <c r="R274">
        <f t="shared" si="27"/>
        <v>0</v>
      </c>
      <c r="S274">
        <f t="shared" si="28"/>
        <v>0</v>
      </c>
      <c r="T274">
        <f t="shared" si="29"/>
        <v>0</v>
      </c>
    </row>
    <row r="275" spans="1:20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O275">
        <f t="shared" si="24"/>
        <v>1</v>
      </c>
      <c r="P275">
        <f t="shared" si="25"/>
        <v>0</v>
      </c>
      <c r="Q275">
        <f t="shared" si="26"/>
        <v>0</v>
      </c>
      <c r="R275">
        <f t="shared" si="27"/>
        <v>0</v>
      </c>
      <c r="S275">
        <f t="shared" si="28"/>
        <v>0</v>
      </c>
      <c r="T275">
        <f t="shared" si="29"/>
        <v>0</v>
      </c>
    </row>
    <row r="276" spans="1:20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O276">
        <f t="shared" si="24"/>
        <v>1</v>
      </c>
      <c r="P276">
        <f t="shared" si="25"/>
        <v>0</v>
      </c>
      <c r="Q276">
        <f t="shared" si="26"/>
        <v>0</v>
      </c>
      <c r="R276">
        <f t="shared" si="27"/>
        <v>0</v>
      </c>
      <c r="S276">
        <f t="shared" si="28"/>
        <v>0</v>
      </c>
      <c r="T276">
        <f t="shared" si="29"/>
        <v>0</v>
      </c>
    </row>
    <row r="277" spans="1:20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O277">
        <f t="shared" si="24"/>
        <v>1</v>
      </c>
      <c r="P277">
        <f t="shared" si="25"/>
        <v>0</v>
      </c>
      <c r="Q277">
        <f t="shared" si="26"/>
        <v>0</v>
      </c>
      <c r="R277">
        <f t="shared" si="27"/>
        <v>0</v>
      </c>
      <c r="S277">
        <f t="shared" si="28"/>
        <v>0</v>
      </c>
      <c r="T277">
        <f t="shared" si="29"/>
        <v>0</v>
      </c>
    </row>
    <row r="278" spans="1:20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O278">
        <f t="shared" si="24"/>
        <v>0</v>
      </c>
      <c r="P278">
        <f t="shared" si="25"/>
        <v>0</v>
      </c>
      <c r="Q278">
        <f t="shared" si="26"/>
        <v>0</v>
      </c>
      <c r="R278">
        <f t="shared" si="27"/>
        <v>0</v>
      </c>
      <c r="S278">
        <f t="shared" si="28"/>
        <v>1</v>
      </c>
      <c r="T278">
        <f t="shared" si="29"/>
        <v>0</v>
      </c>
    </row>
    <row r="279" spans="1:20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O279">
        <f t="shared" si="24"/>
        <v>0</v>
      </c>
      <c r="P279">
        <f t="shared" si="25"/>
        <v>0</v>
      </c>
      <c r="Q279">
        <f t="shared" si="26"/>
        <v>0</v>
      </c>
      <c r="R279">
        <f t="shared" si="27"/>
        <v>0</v>
      </c>
      <c r="S279">
        <f t="shared" si="28"/>
        <v>1</v>
      </c>
      <c r="T279">
        <f t="shared" si="29"/>
        <v>0</v>
      </c>
    </row>
    <row r="280" spans="1:20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O280">
        <f t="shared" si="24"/>
        <v>0</v>
      </c>
      <c r="P280">
        <f t="shared" si="25"/>
        <v>0</v>
      </c>
      <c r="Q280">
        <f t="shared" si="26"/>
        <v>0</v>
      </c>
      <c r="R280">
        <f t="shared" si="27"/>
        <v>0</v>
      </c>
      <c r="S280">
        <f t="shared" si="28"/>
        <v>1</v>
      </c>
      <c r="T280">
        <f t="shared" si="29"/>
        <v>0</v>
      </c>
    </row>
    <row r="281" spans="1:20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O281">
        <f t="shared" si="24"/>
        <v>0</v>
      </c>
      <c r="P281">
        <f t="shared" si="25"/>
        <v>0</v>
      </c>
      <c r="Q281">
        <f t="shared" si="26"/>
        <v>0</v>
      </c>
      <c r="R281">
        <f t="shared" si="27"/>
        <v>0</v>
      </c>
      <c r="S281">
        <f t="shared" si="28"/>
        <v>1</v>
      </c>
      <c r="T281">
        <f t="shared" si="29"/>
        <v>0</v>
      </c>
    </row>
    <row r="282" spans="1:20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O282">
        <f t="shared" si="24"/>
        <v>1</v>
      </c>
      <c r="P282">
        <f t="shared" si="25"/>
        <v>0</v>
      </c>
      <c r="Q282">
        <f t="shared" si="26"/>
        <v>0</v>
      </c>
      <c r="R282">
        <f t="shared" si="27"/>
        <v>0</v>
      </c>
      <c r="S282">
        <f t="shared" si="28"/>
        <v>1</v>
      </c>
      <c r="T282">
        <f t="shared" si="29"/>
        <v>0</v>
      </c>
    </row>
    <row r="283" spans="1:20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O283">
        <f t="shared" si="24"/>
        <v>1</v>
      </c>
      <c r="P283">
        <f t="shared" si="25"/>
        <v>0</v>
      </c>
      <c r="Q283">
        <f t="shared" si="26"/>
        <v>0</v>
      </c>
      <c r="R283">
        <f t="shared" si="27"/>
        <v>0</v>
      </c>
      <c r="S283">
        <f t="shared" si="28"/>
        <v>1</v>
      </c>
      <c r="T283">
        <f t="shared" si="29"/>
        <v>0</v>
      </c>
    </row>
    <row r="284" spans="1:20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O284">
        <f t="shared" si="24"/>
        <v>1</v>
      </c>
      <c r="P284">
        <f t="shared" si="25"/>
        <v>0</v>
      </c>
      <c r="Q284">
        <f t="shared" si="26"/>
        <v>0</v>
      </c>
      <c r="R284">
        <f t="shared" si="27"/>
        <v>0</v>
      </c>
      <c r="S284">
        <f t="shared" si="28"/>
        <v>1</v>
      </c>
      <c r="T284">
        <f t="shared" si="29"/>
        <v>0</v>
      </c>
    </row>
    <row r="285" spans="1:20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O285">
        <f t="shared" si="24"/>
        <v>1</v>
      </c>
      <c r="P285">
        <f t="shared" si="25"/>
        <v>0</v>
      </c>
      <c r="Q285">
        <f t="shared" si="26"/>
        <v>0</v>
      </c>
      <c r="R285">
        <f t="shared" si="27"/>
        <v>0</v>
      </c>
      <c r="S285">
        <f t="shared" si="28"/>
        <v>1</v>
      </c>
      <c r="T285">
        <f t="shared" si="29"/>
        <v>0</v>
      </c>
    </row>
    <row r="286" spans="1:20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O286">
        <f t="shared" si="24"/>
        <v>0</v>
      </c>
      <c r="P286">
        <f t="shared" si="25"/>
        <v>0</v>
      </c>
      <c r="Q286">
        <f t="shared" si="26"/>
        <v>0</v>
      </c>
      <c r="R286">
        <f t="shared" si="27"/>
        <v>0</v>
      </c>
      <c r="S286">
        <f t="shared" si="28"/>
        <v>0</v>
      </c>
      <c r="T286">
        <f t="shared" si="29"/>
        <v>0</v>
      </c>
    </row>
    <row r="287" spans="1:20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O287">
        <f t="shared" si="24"/>
        <v>0</v>
      </c>
      <c r="P287">
        <f t="shared" si="25"/>
        <v>0</v>
      </c>
      <c r="Q287">
        <f t="shared" si="26"/>
        <v>0</v>
      </c>
      <c r="R287">
        <f t="shared" si="27"/>
        <v>0</v>
      </c>
      <c r="S287">
        <f t="shared" si="28"/>
        <v>0</v>
      </c>
      <c r="T287">
        <f t="shared" si="29"/>
        <v>0</v>
      </c>
    </row>
    <row r="288" spans="1:20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O288">
        <f t="shared" si="24"/>
        <v>0</v>
      </c>
      <c r="P288">
        <f t="shared" si="25"/>
        <v>0</v>
      </c>
      <c r="Q288">
        <f t="shared" si="26"/>
        <v>0</v>
      </c>
      <c r="R288">
        <f t="shared" si="27"/>
        <v>0</v>
      </c>
      <c r="S288">
        <f t="shared" si="28"/>
        <v>0</v>
      </c>
      <c r="T288">
        <f t="shared" si="29"/>
        <v>0</v>
      </c>
    </row>
    <row r="289" spans="1:20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O289">
        <f t="shared" si="24"/>
        <v>0</v>
      </c>
      <c r="P289">
        <f t="shared" si="25"/>
        <v>0</v>
      </c>
      <c r="Q289">
        <f t="shared" si="26"/>
        <v>0</v>
      </c>
      <c r="R289">
        <f t="shared" si="27"/>
        <v>0</v>
      </c>
      <c r="S289">
        <f t="shared" si="28"/>
        <v>0</v>
      </c>
      <c r="T289">
        <f t="shared" si="29"/>
        <v>0</v>
      </c>
    </row>
    <row r="290" spans="1:20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O290">
        <f t="shared" si="24"/>
        <v>0</v>
      </c>
      <c r="P290">
        <f t="shared" si="25"/>
        <v>0</v>
      </c>
      <c r="Q290">
        <f t="shared" si="26"/>
        <v>0</v>
      </c>
      <c r="R290">
        <f t="shared" si="27"/>
        <v>0</v>
      </c>
      <c r="S290">
        <f t="shared" si="28"/>
        <v>0</v>
      </c>
      <c r="T290">
        <f t="shared" si="29"/>
        <v>1</v>
      </c>
    </row>
    <row r="291" spans="1:20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O291">
        <f t="shared" si="24"/>
        <v>0</v>
      </c>
      <c r="P291">
        <f t="shared" si="25"/>
        <v>0</v>
      </c>
      <c r="Q291">
        <f t="shared" si="26"/>
        <v>0</v>
      </c>
      <c r="R291">
        <f t="shared" si="27"/>
        <v>0</v>
      </c>
      <c r="S291">
        <f t="shared" si="28"/>
        <v>0</v>
      </c>
      <c r="T291">
        <f t="shared" si="29"/>
        <v>1</v>
      </c>
    </row>
    <row r="292" spans="1:20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O292">
        <f t="shared" si="24"/>
        <v>0</v>
      </c>
      <c r="P292">
        <f t="shared" si="25"/>
        <v>0</v>
      </c>
      <c r="Q292">
        <f t="shared" si="26"/>
        <v>0</v>
      </c>
      <c r="R292">
        <f t="shared" si="27"/>
        <v>0</v>
      </c>
      <c r="S292">
        <f t="shared" si="28"/>
        <v>0</v>
      </c>
      <c r="T292">
        <f t="shared" si="29"/>
        <v>1</v>
      </c>
    </row>
    <row r="293" spans="1:20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O293">
        <f t="shared" si="24"/>
        <v>0</v>
      </c>
      <c r="P293">
        <f t="shared" si="25"/>
        <v>0</v>
      </c>
      <c r="Q293">
        <f t="shared" si="26"/>
        <v>0</v>
      </c>
      <c r="R293">
        <f t="shared" si="27"/>
        <v>0</v>
      </c>
      <c r="S293">
        <f t="shared" si="28"/>
        <v>0</v>
      </c>
      <c r="T293">
        <f t="shared" si="29"/>
        <v>1</v>
      </c>
    </row>
    <row r="294" spans="1:20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O294">
        <f t="shared" si="24"/>
        <v>1</v>
      </c>
      <c r="P294">
        <f t="shared" si="25"/>
        <v>0</v>
      </c>
      <c r="Q294">
        <f t="shared" si="26"/>
        <v>0</v>
      </c>
      <c r="R294">
        <f t="shared" si="27"/>
        <v>0</v>
      </c>
      <c r="S294">
        <f t="shared" si="28"/>
        <v>0</v>
      </c>
      <c r="T294">
        <f t="shared" si="29"/>
        <v>0</v>
      </c>
    </row>
    <row r="295" spans="1:20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O295">
        <f t="shared" si="24"/>
        <v>1</v>
      </c>
      <c r="P295">
        <f t="shared" si="25"/>
        <v>0</v>
      </c>
      <c r="Q295">
        <f t="shared" si="26"/>
        <v>0</v>
      </c>
      <c r="R295">
        <f t="shared" si="27"/>
        <v>0</v>
      </c>
      <c r="S295">
        <f t="shared" si="28"/>
        <v>0</v>
      </c>
      <c r="T295">
        <f t="shared" si="29"/>
        <v>0</v>
      </c>
    </row>
    <row r="296" spans="1:20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O296">
        <f t="shared" si="24"/>
        <v>1</v>
      </c>
      <c r="P296">
        <f t="shared" si="25"/>
        <v>0</v>
      </c>
      <c r="Q296">
        <f t="shared" si="26"/>
        <v>0</v>
      </c>
      <c r="R296">
        <f t="shared" si="27"/>
        <v>0</v>
      </c>
      <c r="S296">
        <f t="shared" si="28"/>
        <v>0</v>
      </c>
      <c r="T296">
        <f t="shared" si="29"/>
        <v>0</v>
      </c>
    </row>
    <row r="297" spans="1:20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O297">
        <f t="shared" si="24"/>
        <v>1</v>
      </c>
      <c r="P297">
        <f t="shared" si="25"/>
        <v>0</v>
      </c>
      <c r="Q297">
        <f t="shared" si="26"/>
        <v>0</v>
      </c>
      <c r="R297">
        <f t="shared" si="27"/>
        <v>0</v>
      </c>
      <c r="S297">
        <f t="shared" si="28"/>
        <v>0</v>
      </c>
      <c r="T297">
        <f t="shared" si="29"/>
        <v>0</v>
      </c>
    </row>
    <row r="298" spans="1:20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O298">
        <f t="shared" si="24"/>
        <v>1</v>
      </c>
      <c r="P298">
        <f t="shared" si="25"/>
        <v>0</v>
      </c>
      <c r="Q298">
        <f t="shared" si="26"/>
        <v>0</v>
      </c>
      <c r="R298">
        <f t="shared" si="27"/>
        <v>0</v>
      </c>
      <c r="S298">
        <f t="shared" si="28"/>
        <v>0</v>
      </c>
      <c r="T298">
        <f t="shared" si="29"/>
        <v>0</v>
      </c>
    </row>
    <row r="299" spans="1:20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O299">
        <f t="shared" si="24"/>
        <v>1</v>
      </c>
      <c r="P299">
        <f t="shared" si="25"/>
        <v>0</v>
      </c>
      <c r="Q299">
        <f t="shared" si="26"/>
        <v>0</v>
      </c>
      <c r="R299">
        <f t="shared" si="27"/>
        <v>0</v>
      </c>
      <c r="S299">
        <f t="shared" si="28"/>
        <v>0</v>
      </c>
      <c r="T299">
        <f t="shared" si="29"/>
        <v>0</v>
      </c>
    </row>
    <row r="300" spans="1:20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O300">
        <f t="shared" si="24"/>
        <v>1</v>
      </c>
      <c r="P300">
        <f t="shared" si="25"/>
        <v>0</v>
      </c>
      <c r="Q300">
        <f t="shared" si="26"/>
        <v>0</v>
      </c>
      <c r="R300">
        <f t="shared" si="27"/>
        <v>0</v>
      </c>
      <c r="S300">
        <f t="shared" si="28"/>
        <v>0</v>
      </c>
      <c r="T300">
        <f t="shared" si="29"/>
        <v>0</v>
      </c>
    </row>
    <row r="301" spans="1:20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O301">
        <f t="shared" si="24"/>
        <v>1</v>
      </c>
      <c r="P301">
        <f t="shared" si="25"/>
        <v>0</v>
      </c>
      <c r="Q301">
        <f t="shared" si="26"/>
        <v>0</v>
      </c>
      <c r="R301">
        <f t="shared" si="27"/>
        <v>0</v>
      </c>
      <c r="S301">
        <f t="shared" si="28"/>
        <v>0</v>
      </c>
      <c r="T301">
        <f t="shared" si="29"/>
        <v>0</v>
      </c>
    </row>
    <row r="302" spans="1:20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O302">
        <f t="shared" si="24"/>
        <v>0</v>
      </c>
      <c r="P302">
        <f t="shared" si="25"/>
        <v>1</v>
      </c>
      <c r="Q302">
        <f t="shared" si="26"/>
        <v>0</v>
      </c>
      <c r="R302">
        <f t="shared" si="27"/>
        <v>1</v>
      </c>
      <c r="S302">
        <f t="shared" si="28"/>
        <v>0</v>
      </c>
      <c r="T302">
        <f t="shared" si="29"/>
        <v>0</v>
      </c>
    </row>
    <row r="303" spans="1:20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O303">
        <f t="shared" si="24"/>
        <v>0</v>
      </c>
      <c r="P303">
        <f t="shared" si="25"/>
        <v>1</v>
      </c>
      <c r="Q303">
        <f t="shared" si="26"/>
        <v>0</v>
      </c>
      <c r="R303">
        <f t="shared" si="27"/>
        <v>1</v>
      </c>
      <c r="S303">
        <f t="shared" si="28"/>
        <v>0</v>
      </c>
      <c r="T303">
        <f t="shared" si="29"/>
        <v>0</v>
      </c>
    </row>
    <row r="304" spans="1:20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O304">
        <f t="shared" si="24"/>
        <v>0</v>
      </c>
      <c r="P304">
        <f t="shared" si="25"/>
        <v>1</v>
      </c>
      <c r="Q304">
        <f t="shared" si="26"/>
        <v>0</v>
      </c>
      <c r="R304">
        <f t="shared" si="27"/>
        <v>1</v>
      </c>
      <c r="S304">
        <f t="shared" si="28"/>
        <v>0</v>
      </c>
      <c r="T304">
        <f t="shared" si="29"/>
        <v>0</v>
      </c>
    </row>
    <row r="305" spans="1:20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O305">
        <f t="shared" si="24"/>
        <v>0</v>
      </c>
      <c r="P305">
        <f t="shared" si="25"/>
        <v>1</v>
      </c>
      <c r="Q305">
        <f t="shared" si="26"/>
        <v>0</v>
      </c>
      <c r="R305">
        <f t="shared" si="27"/>
        <v>1</v>
      </c>
      <c r="S305">
        <f t="shared" si="28"/>
        <v>0</v>
      </c>
      <c r="T305">
        <f t="shared" si="29"/>
        <v>0</v>
      </c>
    </row>
    <row r="306" spans="1:20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O306">
        <f t="shared" si="24"/>
        <v>0</v>
      </c>
      <c r="P306">
        <f t="shared" si="25"/>
        <v>0</v>
      </c>
      <c r="Q306">
        <f t="shared" si="26"/>
        <v>0</v>
      </c>
      <c r="R306">
        <f t="shared" si="27"/>
        <v>0</v>
      </c>
      <c r="S306">
        <f t="shared" si="28"/>
        <v>1</v>
      </c>
      <c r="T306">
        <f t="shared" si="29"/>
        <v>0</v>
      </c>
    </row>
    <row r="307" spans="1:20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O307">
        <f t="shared" si="24"/>
        <v>0</v>
      </c>
      <c r="P307">
        <f t="shared" si="25"/>
        <v>0</v>
      </c>
      <c r="Q307">
        <f t="shared" si="26"/>
        <v>0</v>
      </c>
      <c r="R307">
        <f t="shared" si="27"/>
        <v>0</v>
      </c>
      <c r="S307">
        <f t="shared" si="28"/>
        <v>1</v>
      </c>
      <c r="T307">
        <f t="shared" si="29"/>
        <v>0</v>
      </c>
    </row>
    <row r="308" spans="1:20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O308">
        <f t="shared" si="24"/>
        <v>0</v>
      </c>
      <c r="P308">
        <f t="shared" si="25"/>
        <v>0</v>
      </c>
      <c r="Q308">
        <f t="shared" si="26"/>
        <v>0</v>
      </c>
      <c r="R308">
        <f t="shared" si="27"/>
        <v>0</v>
      </c>
      <c r="S308">
        <f t="shared" si="28"/>
        <v>1</v>
      </c>
      <c r="T308">
        <f t="shared" si="29"/>
        <v>0</v>
      </c>
    </row>
    <row r="309" spans="1:20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O309">
        <f t="shared" si="24"/>
        <v>0</v>
      </c>
      <c r="P309">
        <f t="shared" si="25"/>
        <v>0</v>
      </c>
      <c r="Q309">
        <f t="shared" si="26"/>
        <v>0</v>
      </c>
      <c r="R309">
        <f t="shared" si="27"/>
        <v>0</v>
      </c>
      <c r="S309">
        <f t="shared" si="28"/>
        <v>1</v>
      </c>
      <c r="T309">
        <f t="shared" si="29"/>
        <v>0</v>
      </c>
    </row>
    <row r="310" spans="1:20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O310">
        <f t="shared" si="24"/>
        <v>1</v>
      </c>
      <c r="P310">
        <f t="shared" si="25"/>
        <v>0</v>
      </c>
      <c r="Q310">
        <f t="shared" si="26"/>
        <v>0</v>
      </c>
      <c r="R310">
        <f t="shared" si="27"/>
        <v>0</v>
      </c>
      <c r="S310">
        <f t="shared" si="28"/>
        <v>1</v>
      </c>
      <c r="T310">
        <f t="shared" si="29"/>
        <v>0</v>
      </c>
    </row>
    <row r="311" spans="1:20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O311">
        <f t="shared" si="24"/>
        <v>1</v>
      </c>
      <c r="P311">
        <f t="shared" si="25"/>
        <v>0</v>
      </c>
      <c r="Q311">
        <f t="shared" si="26"/>
        <v>0</v>
      </c>
      <c r="R311">
        <f t="shared" si="27"/>
        <v>0</v>
      </c>
      <c r="S311">
        <f t="shared" si="28"/>
        <v>1</v>
      </c>
      <c r="T311">
        <f t="shared" si="29"/>
        <v>0</v>
      </c>
    </row>
    <row r="312" spans="1:20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O312">
        <f t="shared" si="24"/>
        <v>1</v>
      </c>
      <c r="P312">
        <f t="shared" si="25"/>
        <v>0</v>
      </c>
      <c r="Q312">
        <f t="shared" si="26"/>
        <v>0</v>
      </c>
      <c r="R312">
        <f t="shared" si="27"/>
        <v>0</v>
      </c>
      <c r="S312">
        <f t="shared" si="28"/>
        <v>1</v>
      </c>
      <c r="T312">
        <f t="shared" si="29"/>
        <v>0</v>
      </c>
    </row>
    <row r="313" spans="1:20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</v>
      </c>
      <c r="M313">
        <v>771129.07</v>
      </c>
      <c r="N313">
        <v>116851.13</v>
      </c>
      <c r="O313">
        <f t="shared" si="24"/>
        <v>1</v>
      </c>
      <c r="P313">
        <f t="shared" si="25"/>
        <v>0</v>
      </c>
      <c r="Q313">
        <f t="shared" si="26"/>
        <v>0</v>
      </c>
      <c r="R313">
        <f t="shared" si="27"/>
        <v>0</v>
      </c>
      <c r="S313">
        <f t="shared" si="28"/>
        <v>1</v>
      </c>
      <c r="T313">
        <f t="shared" si="29"/>
        <v>0</v>
      </c>
    </row>
    <row r="314" spans="1:20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O314">
        <f t="shared" si="24"/>
        <v>0</v>
      </c>
      <c r="P314">
        <f t="shared" si="25"/>
        <v>0</v>
      </c>
      <c r="Q314">
        <f t="shared" si="26"/>
        <v>0</v>
      </c>
      <c r="R314">
        <f t="shared" si="27"/>
        <v>1</v>
      </c>
      <c r="S314">
        <f t="shared" si="28"/>
        <v>0</v>
      </c>
      <c r="T314">
        <f t="shared" si="29"/>
        <v>0</v>
      </c>
    </row>
    <row r="315" spans="1:20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</v>
      </c>
      <c r="M315">
        <v>688368.46</v>
      </c>
      <c r="N315">
        <v>93588.42</v>
      </c>
      <c r="O315">
        <f t="shared" si="24"/>
        <v>0</v>
      </c>
      <c r="P315">
        <f t="shared" si="25"/>
        <v>0</v>
      </c>
      <c r="Q315">
        <f t="shared" si="26"/>
        <v>0</v>
      </c>
      <c r="R315">
        <f t="shared" si="27"/>
        <v>1</v>
      </c>
      <c r="S315">
        <f t="shared" si="28"/>
        <v>0</v>
      </c>
      <c r="T315">
        <f t="shared" si="29"/>
        <v>0</v>
      </c>
    </row>
    <row r="316" spans="1:20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O316">
        <f t="shared" si="24"/>
        <v>0</v>
      </c>
      <c r="P316">
        <f t="shared" si="25"/>
        <v>0</v>
      </c>
      <c r="Q316">
        <f t="shared" si="26"/>
        <v>0</v>
      </c>
      <c r="R316">
        <f t="shared" si="27"/>
        <v>1</v>
      </c>
      <c r="S316">
        <f t="shared" si="28"/>
        <v>0</v>
      </c>
      <c r="T316">
        <f t="shared" si="29"/>
        <v>0</v>
      </c>
    </row>
    <row r="317" spans="1:20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O317">
        <f t="shared" si="24"/>
        <v>0</v>
      </c>
      <c r="P317">
        <f t="shared" si="25"/>
        <v>0</v>
      </c>
      <c r="Q317">
        <f t="shared" si="26"/>
        <v>0</v>
      </c>
      <c r="R317">
        <f t="shared" si="27"/>
        <v>1</v>
      </c>
      <c r="S317">
        <f t="shared" si="28"/>
        <v>0</v>
      </c>
      <c r="T317">
        <f t="shared" si="29"/>
        <v>0</v>
      </c>
    </row>
    <row r="318" spans="1:20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O318">
        <f t="shared" si="24"/>
        <v>0</v>
      </c>
      <c r="P318">
        <f t="shared" si="25"/>
        <v>0</v>
      </c>
      <c r="Q318">
        <f t="shared" si="26"/>
        <v>0</v>
      </c>
      <c r="R318">
        <f t="shared" si="27"/>
        <v>0</v>
      </c>
      <c r="S318">
        <f t="shared" si="28"/>
        <v>0</v>
      </c>
      <c r="T318">
        <f t="shared" si="29"/>
        <v>1</v>
      </c>
    </row>
    <row r="319" spans="1:20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O319">
        <f t="shared" si="24"/>
        <v>0</v>
      </c>
      <c r="P319">
        <f t="shared" si="25"/>
        <v>0</v>
      </c>
      <c r="Q319">
        <f t="shared" si="26"/>
        <v>0</v>
      </c>
      <c r="R319">
        <f t="shared" si="27"/>
        <v>0</v>
      </c>
      <c r="S319">
        <f t="shared" si="28"/>
        <v>0</v>
      </c>
      <c r="T319">
        <f t="shared" si="29"/>
        <v>1</v>
      </c>
    </row>
    <row r="320" spans="1:20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O320">
        <f t="shared" si="24"/>
        <v>0</v>
      </c>
      <c r="P320">
        <f t="shared" si="25"/>
        <v>0</v>
      </c>
      <c r="Q320">
        <f t="shared" si="26"/>
        <v>0</v>
      </c>
      <c r="R320">
        <f t="shared" si="27"/>
        <v>0</v>
      </c>
      <c r="S320">
        <f t="shared" si="28"/>
        <v>0</v>
      </c>
      <c r="T320">
        <f t="shared" si="29"/>
        <v>1</v>
      </c>
    </row>
    <row r="321" spans="1:20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O321">
        <f t="shared" si="24"/>
        <v>0</v>
      </c>
      <c r="P321">
        <f t="shared" si="25"/>
        <v>0</v>
      </c>
      <c r="Q321">
        <f t="shared" si="26"/>
        <v>0</v>
      </c>
      <c r="R321">
        <f t="shared" si="27"/>
        <v>0</v>
      </c>
      <c r="S321">
        <f t="shared" si="28"/>
        <v>0</v>
      </c>
      <c r="T321">
        <f t="shared" si="29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FA35-8262-453C-BB99-0C4538F662DA}">
  <dimension ref="A1:CO344"/>
  <sheetViews>
    <sheetView topLeftCell="K1" zoomScale="66" workbookViewId="0">
      <selection activeCell="CA21" sqref="CA21"/>
    </sheetView>
  </sheetViews>
  <sheetFormatPr defaultRowHeight="24"/>
  <cols>
    <col min="1" max="1" width="19.09765625" bestFit="1" customWidth="1"/>
    <col min="2" max="2" width="11.8984375" bestFit="1" customWidth="1"/>
    <col min="3" max="3" width="13.19921875" bestFit="1" customWidth="1"/>
    <col min="4" max="5" width="12.19921875" bestFit="1" customWidth="1"/>
    <col min="6" max="6" width="13.69921875" bestFit="1" customWidth="1"/>
    <col min="7" max="9" width="11.8984375" bestFit="1" customWidth="1"/>
    <col min="14" max="14" width="22.09765625" bestFit="1" customWidth="1"/>
    <col min="15" max="15" width="14" bestFit="1" customWidth="1"/>
    <col min="16" max="17" width="12.19921875" bestFit="1" customWidth="1"/>
    <col min="18" max="18" width="13.69921875" bestFit="1" customWidth="1"/>
    <col min="19" max="19" width="11.8984375" bestFit="1" customWidth="1"/>
    <col min="20" max="20" width="12.69921875" bestFit="1" customWidth="1"/>
    <col min="21" max="21" width="12.796875" bestFit="1" customWidth="1"/>
    <col min="25" max="25" width="14.59765625" customWidth="1"/>
    <col min="26" max="26" width="13.8984375" customWidth="1"/>
    <col min="27" max="27" width="14.19921875" bestFit="1" customWidth="1"/>
    <col min="28" max="28" width="12.69921875" bestFit="1" customWidth="1"/>
    <col min="29" max="29" width="12.796875" bestFit="1" customWidth="1"/>
    <col min="30" max="30" width="14" bestFit="1" customWidth="1"/>
    <col min="31" max="31" width="12.19921875" bestFit="1" customWidth="1"/>
    <col min="32" max="33" width="13" bestFit="1" customWidth="1"/>
    <col min="37" max="37" width="8.8984375" bestFit="1" customWidth="1"/>
    <col min="38" max="38" width="9.09765625" bestFit="1" customWidth="1"/>
    <col min="39" max="40" width="12.8984375" bestFit="1" customWidth="1"/>
    <col min="41" max="41" width="12.796875" bestFit="1" customWidth="1"/>
    <col min="42" max="42" width="11.796875" bestFit="1" customWidth="1"/>
    <col min="43" max="45" width="9.09765625" bestFit="1" customWidth="1"/>
    <col min="49" max="49" width="8.8984375" bestFit="1" customWidth="1"/>
    <col min="50" max="50" width="9.296875" bestFit="1" customWidth="1"/>
    <col min="51" max="51" width="12.5" bestFit="1" customWidth="1"/>
    <col min="52" max="52" width="12.296875" bestFit="1" customWidth="1"/>
    <col min="53" max="53" width="12.5" bestFit="1" customWidth="1"/>
    <col min="54" max="54" width="9.296875" bestFit="1" customWidth="1"/>
    <col min="55" max="57" width="9" bestFit="1" customWidth="1"/>
    <col min="62" max="62" width="9.5" bestFit="1" customWidth="1"/>
    <col min="63" max="63" width="12.796875" bestFit="1" customWidth="1"/>
    <col min="64" max="64" width="12.69921875" bestFit="1" customWidth="1"/>
    <col min="65" max="65" width="12.796875" bestFit="1" customWidth="1"/>
    <col min="66" max="66" width="9.5" bestFit="1" customWidth="1"/>
    <col min="67" max="69" width="9" bestFit="1" customWidth="1"/>
    <col min="74" max="74" width="8.8984375" bestFit="1" customWidth="1"/>
    <col min="75" max="77" width="12.796875" bestFit="1" customWidth="1"/>
    <col min="78" max="78" width="9.5" bestFit="1" customWidth="1"/>
    <col min="79" max="81" width="8.8984375" bestFit="1" customWidth="1"/>
  </cols>
  <sheetData>
    <row r="1" spans="1:93">
      <c r="A1" t="s">
        <v>119</v>
      </c>
      <c r="M1" t="s">
        <v>119</v>
      </c>
      <c r="Y1" t="s">
        <v>119</v>
      </c>
      <c r="AK1" t="s">
        <v>119</v>
      </c>
      <c r="AW1" t="s">
        <v>119</v>
      </c>
      <c r="BI1" t="s">
        <v>119</v>
      </c>
      <c r="BU1" t="s">
        <v>119</v>
      </c>
      <c r="CG1" t="s">
        <v>119</v>
      </c>
    </row>
    <row r="2" spans="1:93" ht="24.6" thickBot="1"/>
    <row r="3" spans="1:93">
      <c r="A3" s="9" t="s">
        <v>120</v>
      </c>
      <c r="B3" s="9"/>
      <c r="M3" s="9" t="s">
        <v>120</v>
      </c>
      <c r="N3" s="9"/>
      <c r="Y3" s="9" t="s">
        <v>120</v>
      </c>
      <c r="Z3" s="9"/>
      <c r="AK3" s="9" t="s">
        <v>120</v>
      </c>
      <c r="AL3" s="9"/>
      <c r="AW3" s="9" t="s">
        <v>120</v>
      </c>
      <c r="AX3" s="9"/>
      <c r="BI3" s="9" t="s">
        <v>120</v>
      </c>
      <c r="BJ3" s="9"/>
      <c r="BU3" s="9" t="s">
        <v>120</v>
      </c>
      <c r="BV3" s="9"/>
      <c r="CG3" s="9" t="s">
        <v>120</v>
      </c>
      <c r="CH3" s="9"/>
    </row>
    <row r="4" spans="1:93">
      <c r="A4" t="s">
        <v>121</v>
      </c>
      <c r="B4">
        <v>0.40895561021322352</v>
      </c>
      <c r="M4" t="s">
        <v>121</v>
      </c>
      <c r="N4">
        <v>0.85807070804410468</v>
      </c>
      <c r="Y4" t="s">
        <v>121</v>
      </c>
      <c r="Z4">
        <v>9.1052199448449889E-2</v>
      </c>
      <c r="AK4" t="s">
        <v>121</v>
      </c>
      <c r="AL4">
        <v>0.80764500059632516</v>
      </c>
      <c r="AW4" t="s">
        <v>121</v>
      </c>
      <c r="AX4">
        <v>0.11452081018053405</v>
      </c>
      <c r="BI4" t="s">
        <v>121</v>
      </c>
      <c r="BJ4">
        <v>0.10697479739788894</v>
      </c>
      <c r="BU4" t="s">
        <v>121</v>
      </c>
      <c r="BV4">
        <v>0.19526539490199996</v>
      </c>
      <c r="CG4" t="s">
        <v>121</v>
      </c>
      <c r="CH4">
        <v>2.6428254879302643E-2</v>
      </c>
    </row>
    <row r="5" spans="1:93">
      <c r="A5" t="s">
        <v>122</v>
      </c>
      <c r="B5">
        <v>0.16724469112487</v>
      </c>
      <c r="M5" t="s">
        <v>122</v>
      </c>
      <c r="N5">
        <v>0.73628534000331114</v>
      </c>
      <c r="Y5" t="s">
        <v>122</v>
      </c>
      <c r="Z5">
        <v>8.2905030244002989E-3</v>
      </c>
      <c r="AK5" t="s">
        <v>122</v>
      </c>
      <c r="AL5">
        <v>0.65229044698823802</v>
      </c>
      <c r="AW5" t="s">
        <v>122</v>
      </c>
      <c r="AX5">
        <v>1.3115015964405912E-2</v>
      </c>
      <c r="BI5" t="s">
        <v>122</v>
      </c>
      <c r="BJ5">
        <v>1.1443607278319386E-2</v>
      </c>
      <c r="BU5" t="s">
        <v>122</v>
      </c>
      <c r="BV5">
        <v>3.8128574446233993E-2</v>
      </c>
      <c r="CG5" t="s">
        <v>122</v>
      </c>
      <c r="CH5">
        <v>6.9845265596538391E-4</v>
      </c>
    </row>
    <row r="6" spans="1:93">
      <c r="A6" t="s">
        <v>123</v>
      </c>
      <c r="B6">
        <v>0.16462596373847024</v>
      </c>
      <c r="M6" t="s">
        <v>123</v>
      </c>
      <c r="N6">
        <v>0.73545604861967373</v>
      </c>
      <c r="Y6" t="s">
        <v>123</v>
      </c>
      <c r="Z6">
        <v>5.171919700577658E-3</v>
      </c>
      <c r="AK6" t="s">
        <v>123</v>
      </c>
      <c r="AL6">
        <v>0.65119702072090546</v>
      </c>
      <c r="AW6" t="s">
        <v>123</v>
      </c>
      <c r="AX6">
        <v>1.0011604064922909E-2</v>
      </c>
      <c r="BI6" t="s">
        <v>123</v>
      </c>
      <c r="BJ6">
        <v>8.3349393766788821E-3</v>
      </c>
      <c r="BU6" t="s">
        <v>123</v>
      </c>
      <c r="BV6">
        <v>3.5103821535687564E-2</v>
      </c>
      <c r="CG6" t="s">
        <v>123</v>
      </c>
      <c r="CH6">
        <v>-2.4440050400850394E-3</v>
      </c>
    </row>
    <row r="7" spans="1:93">
      <c r="A7" t="s">
        <v>124</v>
      </c>
      <c r="B7">
        <v>94846.03383215853</v>
      </c>
      <c r="M7" t="s">
        <v>124</v>
      </c>
      <c r="N7">
        <v>53373.736380790499</v>
      </c>
      <c r="Y7" t="s">
        <v>124</v>
      </c>
      <c r="Z7">
        <v>103502.94470614102</v>
      </c>
      <c r="AK7" t="s">
        <v>124</v>
      </c>
      <c r="AL7">
        <v>61287.058979164089</v>
      </c>
      <c r="AW7" t="s">
        <v>124</v>
      </c>
      <c r="AX7">
        <v>103250.87487318904</v>
      </c>
      <c r="BI7" t="s">
        <v>124</v>
      </c>
      <c r="BJ7">
        <v>103338.27178611119</v>
      </c>
      <c r="BU7" t="s">
        <v>124</v>
      </c>
      <c r="BV7">
        <v>101933.97996671942</v>
      </c>
      <c r="CG7" t="s">
        <v>124</v>
      </c>
      <c r="CH7">
        <v>103898.373697883</v>
      </c>
    </row>
    <row r="8" spans="1:93" ht="24.6" thickBot="1">
      <c r="A8" s="7" t="s">
        <v>125</v>
      </c>
      <c r="B8" s="7">
        <v>320</v>
      </c>
      <c r="M8" s="7" t="s">
        <v>125</v>
      </c>
      <c r="N8" s="7">
        <v>320</v>
      </c>
      <c r="Y8" s="7" t="s">
        <v>125</v>
      </c>
      <c r="Z8" s="7">
        <v>320</v>
      </c>
      <c r="AK8" s="7" t="s">
        <v>125</v>
      </c>
      <c r="AL8" s="7">
        <v>320</v>
      </c>
      <c r="AW8" s="7" t="s">
        <v>125</v>
      </c>
      <c r="AX8" s="7">
        <v>320</v>
      </c>
      <c r="BI8" s="7" t="s">
        <v>125</v>
      </c>
      <c r="BJ8" s="7">
        <v>320</v>
      </c>
      <c r="BU8" s="7" t="s">
        <v>125</v>
      </c>
      <c r="BV8" s="7">
        <v>320</v>
      </c>
      <c r="CG8" s="7" t="s">
        <v>125</v>
      </c>
      <c r="CH8" s="7">
        <v>320</v>
      </c>
    </row>
    <row r="10" spans="1:93" ht="24.6" thickBot="1">
      <c r="A10" t="s">
        <v>126</v>
      </c>
      <c r="M10" t="s">
        <v>126</v>
      </c>
      <c r="Y10" t="s">
        <v>126</v>
      </c>
      <c r="AK10" t="s">
        <v>126</v>
      </c>
      <c r="AW10" t="s">
        <v>126</v>
      </c>
      <c r="BI10" t="s">
        <v>126</v>
      </c>
      <c r="BU10" t="s">
        <v>126</v>
      </c>
      <c r="CG10" t="s">
        <v>126</v>
      </c>
    </row>
    <row r="11" spans="1:93">
      <c r="A11" s="8"/>
      <c r="B11" s="8" t="s">
        <v>131</v>
      </c>
      <c r="C11" s="8" t="s">
        <v>132</v>
      </c>
      <c r="D11" s="8" t="s">
        <v>133</v>
      </c>
      <c r="E11" s="8" t="s">
        <v>134</v>
      </c>
      <c r="F11" s="8" t="s">
        <v>135</v>
      </c>
      <c r="M11" s="8"/>
      <c r="N11" s="8" t="s">
        <v>131</v>
      </c>
      <c r="O11" s="8" t="s">
        <v>132</v>
      </c>
      <c r="P11" s="8" t="s">
        <v>133</v>
      </c>
      <c r="Q11" s="8" t="s">
        <v>134</v>
      </c>
      <c r="R11" s="8" t="s">
        <v>135</v>
      </c>
      <c r="Y11" s="8"/>
      <c r="Z11" s="8" t="s">
        <v>131</v>
      </c>
      <c r="AA11" s="8" t="s">
        <v>132</v>
      </c>
      <c r="AB11" s="8" t="s">
        <v>133</v>
      </c>
      <c r="AC11" s="8" t="s">
        <v>134</v>
      </c>
      <c r="AD11" s="8" t="s">
        <v>135</v>
      </c>
      <c r="AK11" s="8"/>
      <c r="AL11" s="8" t="s">
        <v>131</v>
      </c>
      <c r="AM11" s="8" t="s">
        <v>132</v>
      </c>
      <c r="AN11" s="8" t="s">
        <v>133</v>
      </c>
      <c r="AO11" s="8" t="s">
        <v>134</v>
      </c>
      <c r="AP11" s="8" t="s">
        <v>135</v>
      </c>
      <c r="AW11" s="8"/>
      <c r="AX11" s="8" t="s">
        <v>131</v>
      </c>
      <c r="AY11" s="8" t="s">
        <v>132</v>
      </c>
      <c r="AZ11" s="8" t="s">
        <v>133</v>
      </c>
      <c r="BA11" s="8" t="s">
        <v>134</v>
      </c>
      <c r="BB11" s="8" t="s">
        <v>135</v>
      </c>
      <c r="BI11" s="8"/>
      <c r="BJ11" s="8" t="s">
        <v>131</v>
      </c>
      <c r="BK11" s="8" t="s">
        <v>132</v>
      </c>
      <c r="BL11" s="8" t="s">
        <v>133</v>
      </c>
      <c r="BM11" s="8" t="s">
        <v>134</v>
      </c>
      <c r="BN11" s="8" t="s">
        <v>135</v>
      </c>
      <c r="BU11" s="8"/>
      <c r="BV11" s="8" t="s">
        <v>131</v>
      </c>
      <c r="BW11" s="8" t="s">
        <v>132</v>
      </c>
      <c r="BX11" s="8" t="s">
        <v>133</v>
      </c>
      <c r="BY11" s="8" t="s">
        <v>134</v>
      </c>
      <c r="BZ11" s="8" t="s">
        <v>135</v>
      </c>
      <c r="CG11" s="8"/>
      <c r="CH11" s="8" t="s">
        <v>131</v>
      </c>
      <c r="CI11" s="8" t="s">
        <v>132</v>
      </c>
      <c r="CJ11" s="8" t="s">
        <v>133</v>
      </c>
      <c r="CK11" s="8" t="s">
        <v>134</v>
      </c>
      <c r="CL11" s="8" t="s">
        <v>135</v>
      </c>
    </row>
    <row r="12" spans="1:93">
      <c r="A12" t="s">
        <v>127</v>
      </c>
      <c r="B12">
        <v>1</v>
      </c>
      <c r="C12">
        <v>574513714277.01416</v>
      </c>
      <c r="D12">
        <v>574513714277.01416</v>
      </c>
      <c r="E12">
        <v>63.864872683367629</v>
      </c>
      <c r="F12">
        <v>2.4800615101359619E-14</v>
      </c>
      <c r="M12" t="s">
        <v>127</v>
      </c>
      <c r="N12">
        <v>1</v>
      </c>
      <c r="O12">
        <v>2529264292982.4736</v>
      </c>
      <c r="P12">
        <v>2529264292982.4736</v>
      </c>
      <c r="Q12">
        <v>887.84877611276033</v>
      </c>
      <c r="R12">
        <v>4.7503615090053331E-94</v>
      </c>
      <c r="Y12" t="s">
        <v>127</v>
      </c>
      <c r="Z12">
        <v>1</v>
      </c>
      <c r="AA12">
        <v>28479275806.828613</v>
      </c>
      <c r="AB12">
        <v>28479275806.828613</v>
      </c>
      <c r="AC12">
        <v>2.658419597472264</v>
      </c>
      <c r="AD12">
        <v>0.10399304641903476</v>
      </c>
      <c r="AK12" t="s">
        <v>127</v>
      </c>
      <c r="AL12">
        <v>1</v>
      </c>
      <c r="AM12">
        <v>2240727672526.3984</v>
      </c>
      <c r="AN12">
        <v>2240727672526.3984</v>
      </c>
      <c r="AO12">
        <v>596.55640848971132</v>
      </c>
      <c r="AP12">
        <v>6.2501017894057036E-75</v>
      </c>
      <c r="AW12" t="s">
        <v>127</v>
      </c>
      <c r="AX12">
        <v>1</v>
      </c>
      <c r="AY12">
        <v>45052291249.636719</v>
      </c>
      <c r="AZ12">
        <v>45052291249.636719</v>
      </c>
      <c r="BA12">
        <v>4.2259991226400695</v>
      </c>
      <c r="BB12">
        <v>4.0625296630152581E-2</v>
      </c>
      <c r="BI12" t="s">
        <v>127</v>
      </c>
      <c r="BJ12">
        <v>1</v>
      </c>
      <c r="BK12">
        <v>39310720585.36084</v>
      </c>
      <c r="BL12">
        <v>39310720585.36084</v>
      </c>
      <c r="BM12">
        <v>3.68119324430904</v>
      </c>
      <c r="BN12">
        <v>5.5924495469483117E-2</v>
      </c>
      <c r="BU12" t="s">
        <v>127</v>
      </c>
      <c r="BV12">
        <v>1</v>
      </c>
      <c r="BW12">
        <v>130978082340.67236</v>
      </c>
      <c r="BX12">
        <v>130978082340.67236</v>
      </c>
      <c r="BY12">
        <v>12.605517069936768</v>
      </c>
      <c r="BZ12">
        <v>4.4270737119686814E-4</v>
      </c>
      <c r="CG12" t="s">
        <v>127</v>
      </c>
      <c r="CH12">
        <v>1</v>
      </c>
      <c r="CI12">
        <v>2399302644.0864258</v>
      </c>
      <c r="CJ12">
        <v>2399302644.0864258</v>
      </c>
      <c r="CK12">
        <v>0.22226318490881497</v>
      </c>
      <c r="CL12">
        <v>0.63764415103945393</v>
      </c>
    </row>
    <row r="13" spans="1:93">
      <c r="A13" t="s">
        <v>128</v>
      </c>
      <c r="B13">
        <v>318</v>
      </c>
      <c r="C13">
        <v>2860654902513.7251</v>
      </c>
      <c r="D13">
        <v>8995770133.6909599</v>
      </c>
      <c r="M13" t="s">
        <v>128</v>
      </c>
      <c r="N13">
        <v>318</v>
      </c>
      <c r="O13">
        <v>905904323808.26587</v>
      </c>
      <c r="P13">
        <v>2848755735.246119</v>
      </c>
      <c r="Y13" t="s">
        <v>128</v>
      </c>
      <c r="Z13">
        <v>318</v>
      </c>
      <c r="AA13">
        <v>3406689340983.9106</v>
      </c>
      <c r="AB13">
        <v>10712859562.842485</v>
      </c>
      <c r="AK13" t="s">
        <v>128</v>
      </c>
      <c r="AL13">
        <v>318</v>
      </c>
      <c r="AM13">
        <v>1194440944264.3411</v>
      </c>
      <c r="AN13">
        <v>3756103598.3155379</v>
      </c>
      <c r="AW13" t="s">
        <v>128</v>
      </c>
      <c r="AX13">
        <v>318</v>
      </c>
      <c r="AY13">
        <v>3390116325541.1025</v>
      </c>
      <c r="AZ13">
        <v>10660743162.078939</v>
      </c>
      <c r="BI13" t="s">
        <v>128</v>
      </c>
      <c r="BJ13">
        <v>318</v>
      </c>
      <c r="BK13">
        <v>3395857896205.3784</v>
      </c>
      <c r="BL13">
        <v>10678798415.740183</v>
      </c>
      <c r="BU13" t="s">
        <v>128</v>
      </c>
      <c r="BV13">
        <v>318</v>
      </c>
      <c r="BW13">
        <v>3304190534450.0669</v>
      </c>
      <c r="BX13">
        <v>10390536271.855556</v>
      </c>
      <c r="CG13" t="s">
        <v>128</v>
      </c>
      <c r="CH13">
        <v>318</v>
      </c>
      <c r="CI13">
        <v>3432769314146.6528</v>
      </c>
      <c r="CJ13">
        <v>10794872057.064945</v>
      </c>
    </row>
    <row r="14" spans="1:93" ht="24.6" thickBot="1">
      <c r="A14" s="7" t="s">
        <v>129</v>
      </c>
      <c r="B14" s="7">
        <v>319</v>
      </c>
      <c r="C14" s="7">
        <v>3435168616790.7393</v>
      </c>
      <c r="D14" s="7"/>
      <c r="E14" s="7"/>
      <c r="F14" s="7"/>
      <c r="M14" s="7" t="s">
        <v>129</v>
      </c>
      <c r="N14" s="7">
        <v>319</v>
      </c>
      <c r="O14" s="7">
        <v>3435168616790.7393</v>
      </c>
      <c r="P14" s="7"/>
      <c r="Q14" s="7"/>
      <c r="R14" s="7"/>
      <c r="Y14" s="7" t="s">
        <v>129</v>
      </c>
      <c r="Z14" s="7">
        <v>319</v>
      </c>
      <c r="AA14" s="7">
        <v>3435168616790.7393</v>
      </c>
      <c r="AB14" s="7"/>
      <c r="AC14" s="7"/>
      <c r="AD14" s="7"/>
      <c r="AK14" s="7" t="s">
        <v>129</v>
      </c>
      <c r="AL14" s="7">
        <v>319</v>
      </c>
      <c r="AM14" s="7">
        <v>3435168616790.7393</v>
      </c>
      <c r="AN14" s="7"/>
      <c r="AO14" s="7"/>
      <c r="AP14" s="7"/>
      <c r="AW14" s="7" t="s">
        <v>129</v>
      </c>
      <c r="AX14" s="7">
        <v>319</v>
      </c>
      <c r="AY14" s="7">
        <v>3435168616790.7393</v>
      </c>
      <c r="AZ14" s="7"/>
      <c r="BA14" s="7"/>
      <c r="BB14" s="7"/>
      <c r="BI14" s="7" t="s">
        <v>129</v>
      </c>
      <c r="BJ14" s="7">
        <v>319</v>
      </c>
      <c r="BK14" s="7">
        <v>3435168616790.7393</v>
      </c>
      <c r="BL14" s="7"/>
      <c r="BM14" s="7"/>
      <c r="BN14" s="7"/>
      <c r="BU14" s="7" t="s">
        <v>129</v>
      </c>
      <c r="BV14" s="7">
        <v>319</v>
      </c>
      <c r="BW14" s="7">
        <v>3435168616790.7393</v>
      </c>
      <c r="BX14" s="7"/>
      <c r="BY14" s="7"/>
      <c r="BZ14" s="7"/>
      <c r="CG14" s="7" t="s">
        <v>129</v>
      </c>
      <c r="CH14" s="7">
        <v>319</v>
      </c>
      <c r="CI14" s="7">
        <v>3435168616790.7393</v>
      </c>
      <c r="CJ14" s="7"/>
      <c r="CK14" s="7"/>
      <c r="CL14" s="7"/>
    </row>
    <row r="16" spans="1:93">
      <c r="A16" s="10"/>
      <c r="B16" s="10" t="s">
        <v>136</v>
      </c>
      <c r="C16" s="10" t="s">
        <v>124</v>
      </c>
      <c r="D16" s="10" t="s">
        <v>137</v>
      </c>
      <c r="E16" s="10" t="s">
        <v>138</v>
      </c>
      <c r="F16" s="10" t="s">
        <v>139</v>
      </c>
      <c r="G16" s="10" t="s">
        <v>140</v>
      </c>
      <c r="H16" s="10" t="s">
        <v>141</v>
      </c>
      <c r="I16" s="10" t="s">
        <v>142</v>
      </c>
      <c r="M16" s="11"/>
      <c r="N16" s="11" t="s">
        <v>136</v>
      </c>
      <c r="O16" s="11" t="s">
        <v>124</v>
      </c>
      <c r="P16" s="11" t="s">
        <v>137</v>
      </c>
      <c r="Q16" s="11" t="s">
        <v>138</v>
      </c>
      <c r="R16" s="11" t="s">
        <v>139</v>
      </c>
      <c r="S16" s="11" t="s">
        <v>140</v>
      </c>
      <c r="T16" s="11" t="s">
        <v>141</v>
      </c>
      <c r="U16" s="11" t="s">
        <v>142</v>
      </c>
      <c r="Y16" s="11"/>
      <c r="Z16" s="11" t="s">
        <v>136</v>
      </c>
      <c r="AA16" s="11" t="s">
        <v>124</v>
      </c>
      <c r="AB16" s="11" t="s">
        <v>137</v>
      </c>
      <c r="AC16" s="11" t="s">
        <v>138</v>
      </c>
      <c r="AD16" s="11" t="s">
        <v>139</v>
      </c>
      <c r="AE16" s="11" t="s">
        <v>140</v>
      </c>
      <c r="AF16" s="11" t="s">
        <v>141</v>
      </c>
      <c r="AG16" s="11" t="s">
        <v>142</v>
      </c>
      <c r="AK16" s="11"/>
      <c r="AL16" s="11" t="s">
        <v>136</v>
      </c>
      <c r="AM16" s="11" t="s">
        <v>124</v>
      </c>
      <c r="AN16" s="11" t="s">
        <v>137</v>
      </c>
      <c r="AO16" s="11" t="s">
        <v>138</v>
      </c>
      <c r="AP16" s="11" t="s">
        <v>139</v>
      </c>
      <c r="AQ16" s="11" t="s">
        <v>140</v>
      </c>
      <c r="AR16" s="11" t="s">
        <v>141</v>
      </c>
      <c r="AS16" s="11" t="s">
        <v>142</v>
      </c>
      <c r="AW16" s="11"/>
      <c r="AX16" s="11" t="s">
        <v>136</v>
      </c>
      <c r="AY16" s="11" t="s">
        <v>124</v>
      </c>
      <c r="AZ16" s="11" t="s">
        <v>137</v>
      </c>
      <c r="BA16" s="11" t="s">
        <v>138</v>
      </c>
      <c r="BB16" s="11" t="s">
        <v>139</v>
      </c>
      <c r="BC16" s="11" t="s">
        <v>140</v>
      </c>
      <c r="BD16" s="11" t="s">
        <v>141</v>
      </c>
      <c r="BE16" s="11" t="s">
        <v>142</v>
      </c>
      <c r="BI16" s="11"/>
      <c r="BJ16" s="11" t="s">
        <v>136</v>
      </c>
      <c r="BK16" s="11" t="s">
        <v>124</v>
      </c>
      <c r="BL16" s="11" t="s">
        <v>137</v>
      </c>
      <c r="BM16" s="11" t="s">
        <v>138</v>
      </c>
      <c r="BN16" s="11" t="s">
        <v>139</v>
      </c>
      <c r="BO16" s="11" t="s">
        <v>140</v>
      </c>
      <c r="BP16" s="11" t="s">
        <v>141</v>
      </c>
      <c r="BQ16" s="11" t="s">
        <v>142</v>
      </c>
      <c r="BU16" s="11"/>
      <c r="BV16" s="11" t="s">
        <v>136</v>
      </c>
      <c r="BW16" s="11" t="s">
        <v>124</v>
      </c>
      <c r="BX16" s="11" t="s">
        <v>137</v>
      </c>
      <c r="BY16" s="11" t="s">
        <v>138</v>
      </c>
      <c r="BZ16" s="11" t="s">
        <v>139</v>
      </c>
      <c r="CA16" s="11" t="s">
        <v>140</v>
      </c>
      <c r="CB16" s="11" t="s">
        <v>141</v>
      </c>
      <c r="CC16" s="11" t="s">
        <v>142</v>
      </c>
      <c r="CG16" s="11"/>
      <c r="CH16" s="11" t="s">
        <v>136</v>
      </c>
      <c r="CI16" s="11" t="s">
        <v>124</v>
      </c>
      <c r="CJ16" s="11" t="s">
        <v>137</v>
      </c>
      <c r="CK16" s="11" t="s">
        <v>138</v>
      </c>
      <c r="CL16" s="11" t="s">
        <v>139</v>
      </c>
      <c r="CM16" s="11" t="s">
        <v>140</v>
      </c>
      <c r="CN16" s="11" t="s">
        <v>141</v>
      </c>
      <c r="CO16" s="11" t="s">
        <v>142</v>
      </c>
    </row>
    <row r="17" spans="1:93">
      <c r="A17" s="10" t="s">
        <v>130</v>
      </c>
      <c r="B17" s="10">
        <v>560777.34544943704</v>
      </c>
      <c r="C17" s="10">
        <v>15906.905953068674</v>
      </c>
      <c r="D17" s="10">
        <v>35.253703460870398</v>
      </c>
      <c r="E17" s="10">
        <v>6.952876876284135E-112</v>
      </c>
      <c r="F17" s="10">
        <v>529481.27234763221</v>
      </c>
      <c r="G17" s="10">
        <v>592073.41855124186</v>
      </c>
      <c r="H17" s="10">
        <v>529481.27234763221</v>
      </c>
      <c r="I17" s="10">
        <v>592073.41855124186</v>
      </c>
      <c r="M17" s="10" t="s">
        <v>130</v>
      </c>
      <c r="N17" s="10">
        <v>446410.58293395344</v>
      </c>
      <c r="O17" s="10">
        <v>8407.7382630059928</v>
      </c>
      <c r="P17" s="10">
        <v>53.095204556754318</v>
      </c>
      <c r="Q17" s="10">
        <v>4.0862695711507226E-160</v>
      </c>
      <c r="R17" s="10">
        <v>429868.76191129786</v>
      </c>
      <c r="S17" s="10">
        <v>462952.40395660902</v>
      </c>
      <c r="T17" s="10">
        <v>429868.76191129786</v>
      </c>
      <c r="U17" s="10">
        <v>462952.40395660902</v>
      </c>
      <c r="Y17" s="10" t="s">
        <v>130</v>
      </c>
      <c r="Z17" s="10">
        <v>697835.62958654074</v>
      </c>
      <c r="AA17" s="10">
        <v>12035.418765239492</v>
      </c>
      <c r="AB17" s="10">
        <v>57.981832057395351</v>
      </c>
      <c r="AC17" s="10">
        <v>3.8725943752004609E-171</v>
      </c>
      <c r="AD17" s="10">
        <v>674156.52149354888</v>
      </c>
      <c r="AE17" s="10">
        <v>721514.73767953261</v>
      </c>
      <c r="AF17" s="10">
        <v>674156.52149354888</v>
      </c>
      <c r="AG17" s="10">
        <v>721514.73767953261</v>
      </c>
      <c r="AK17" s="10" t="s">
        <v>130</v>
      </c>
      <c r="AL17" s="10">
        <v>400551.4686009016</v>
      </c>
      <c r="AM17" s="10">
        <v>11967.927247884665</v>
      </c>
      <c r="AN17" s="10">
        <v>33.468741938726204</v>
      </c>
      <c r="AO17" s="10">
        <v>3.1549308182052979E-106</v>
      </c>
      <c r="AP17" s="10">
        <v>377005.1468251936</v>
      </c>
      <c r="AQ17" s="10">
        <v>424097.7903766096</v>
      </c>
      <c r="AR17" s="10">
        <v>377005.1468251936</v>
      </c>
      <c r="AS17" s="10">
        <v>424097.7903766096</v>
      </c>
      <c r="AW17" s="10" t="s">
        <v>130</v>
      </c>
      <c r="AX17" s="10">
        <v>484814.25658676017</v>
      </c>
      <c r="AY17" s="10">
        <v>95428.021317590741</v>
      </c>
      <c r="AZ17" s="10">
        <v>5.0804182030901215</v>
      </c>
      <c r="BA17" s="10">
        <v>6.4331365016162449E-7</v>
      </c>
      <c r="BB17" s="10">
        <v>297064.21016495663</v>
      </c>
      <c r="BC17" s="10">
        <v>672564.3030085637</v>
      </c>
      <c r="BD17" s="10">
        <v>297064.21016495663</v>
      </c>
      <c r="BE17" s="10">
        <v>672564.3030085637</v>
      </c>
      <c r="BI17" s="10" t="s">
        <v>130</v>
      </c>
      <c r="BJ17" s="10">
        <v>692482.81728874356</v>
      </c>
      <c r="BK17" s="10">
        <v>8458.34270745297</v>
      </c>
      <c r="BL17" s="10">
        <v>81.869798994851607</v>
      </c>
      <c r="BM17" s="10">
        <v>9.3792101953872082E-216</v>
      </c>
      <c r="BN17" s="10">
        <v>675841.43445329031</v>
      </c>
      <c r="BO17" s="10">
        <v>709124.20012419682</v>
      </c>
      <c r="BP17" s="10">
        <v>675841.43445329031</v>
      </c>
      <c r="BQ17" s="10">
        <v>709124.20012419682</v>
      </c>
      <c r="BU17" s="10" t="s">
        <v>130</v>
      </c>
      <c r="BV17" s="10">
        <v>671411.86335849017</v>
      </c>
      <c r="BW17" s="10">
        <v>6261.7546133005526</v>
      </c>
      <c r="BX17" s="10">
        <v>107.22423742577656</v>
      </c>
      <c r="BY17" s="10">
        <v>1.0592658981843214E-251</v>
      </c>
      <c r="BZ17" s="10">
        <v>659092.16204752517</v>
      </c>
      <c r="CA17" s="10">
        <v>683731.56466945517</v>
      </c>
      <c r="CB17" s="10">
        <v>659092.16204752517</v>
      </c>
      <c r="CC17" s="10">
        <v>683731.56466945517</v>
      </c>
      <c r="CG17" s="10" t="s">
        <v>130</v>
      </c>
      <c r="CH17" s="10">
        <v>701366.8636090745</v>
      </c>
      <c r="CI17" s="10">
        <v>44369.983072920884</v>
      </c>
      <c r="CJ17" s="10">
        <v>15.807237574474543</v>
      </c>
      <c r="CK17" s="10">
        <v>6.1295169203789598E-42</v>
      </c>
      <c r="CL17" s="10">
        <v>614071.05398570199</v>
      </c>
      <c r="CM17" s="10">
        <v>788662.67323244701</v>
      </c>
      <c r="CN17" s="10">
        <v>614071.05398570199</v>
      </c>
      <c r="CO17" s="10">
        <v>788662.67323244701</v>
      </c>
    </row>
    <row r="18" spans="1:93">
      <c r="A18" s="10" t="s">
        <v>4</v>
      </c>
      <c r="B18" s="10">
        <v>2.1295753275898281</v>
      </c>
      <c r="C18" s="10">
        <v>0.26647838106932348</v>
      </c>
      <c r="D18" s="10">
        <v>7.991550080138869</v>
      </c>
      <c r="E18" s="10">
        <v>2.4800615101360068E-14</v>
      </c>
      <c r="F18" s="10">
        <v>1.6052919176921738</v>
      </c>
      <c r="G18" s="10">
        <v>2.6538587374874822</v>
      </c>
      <c r="H18" s="10">
        <v>1.6052919176921738</v>
      </c>
      <c r="I18" s="10">
        <v>2.6538587374874822</v>
      </c>
      <c r="M18" s="10" t="s">
        <v>5</v>
      </c>
      <c r="N18" s="10">
        <v>35.678031072640458</v>
      </c>
      <c r="O18" s="10">
        <v>1.1973782890340821</v>
      </c>
      <c r="P18" s="10">
        <v>29.796791372776362</v>
      </c>
      <c r="Q18" s="10">
        <v>4.7503615090054677E-94</v>
      </c>
      <c r="R18" s="10">
        <v>33.322246825554025</v>
      </c>
      <c r="S18" s="10">
        <v>38.033815319726891</v>
      </c>
      <c r="T18" s="10">
        <v>33.322246825554025</v>
      </c>
      <c r="U18" s="10">
        <v>38.033815319726891</v>
      </c>
      <c r="Y18" s="10" t="s">
        <v>6</v>
      </c>
      <c r="Z18" s="10">
        <v>-138730.45471638071</v>
      </c>
      <c r="AA18" s="10">
        <v>85086.379579668472</v>
      </c>
      <c r="AB18" s="10">
        <v>-1.6304660675623643</v>
      </c>
      <c r="AC18" s="10">
        <v>0.10399304641903374</v>
      </c>
      <c r="AD18" s="10">
        <v>-306133.81795682968</v>
      </c>
      <c r="AE18" s="10">
        <v>28672.908524068218</v>
      </c>
      <c r="AF18" s="10">
        <v>-306133.81795682968</v>
      </c>
      <c r="AG18" s="10">
        <v>28672.908524068218</v>
      </c>
      <c r="AK18" s="10" t="s">
        <v>7</v>
      </c>
      <c r="AL18" s="10">
        <v>16984.028760225763</v>
      </c>
      <c r="AM18" s="10">
        <v>695.36841269714364</v>
      </c>
      <c r="AN18" s="10">
        <v>24.424504262926419</v>
      </c>
      <c r="AO18" s="10">
        <v>6.2501017894062377E-75</v>
      </c>
      <c r="AP18" s="10">
        <v>15615.924822183839</v>
      </c>
      <c r="AQ18" s="10">
        <v>18352.132698267687</v>
      </c>
      <c r="AR18" s="10">
        <v>15615.924822183839</v>
      </c>
      <c r="AS18" s="10">
        <v>18352.132698267687</v>
      </c>
      <c r="AW18" s="10" t="s">
        <v>8</v>
      </c>
      <c r="AX18" s="10">
        <v>2217.8319409989194</v>
      </c>
      <c r="AY18" s="10">
        <v>1078.8571212403435</v>
      </c>
      <c r="AZ18" s="10">
        <v>2.0557235034506851</v>
      </c>
      <c r="BA18" s="10">
        <v>4.0625296630164572E-2</v>
      </c>
      <c r="BB18" s="10">
        <v>95.232396351023908</v>
      </c>
      <c r="BC18" s="10">
        <v>4340.4314856468154</v>
      </c>
      <c r="BD18" s="10">
        <v>95.232396351023908</v>
      </c>
      <c r="BE18" s="10">
        <v>4340.4314856468154</v>
      </c>
      <c r="BI18" s="10" t="s">
        <v>9</v>
      </c>
      <c r="BJ18" s="10">
        <v>-2612.9595809124748</v>
      </c>
      <c r="BK18" s="10">
        <v>1361.8785624580735</v>
      </c>
      <c r="BL18" s="10">
        <v>-1.9186435949151794</v>
      </c>
      <c r="BM18" s="10">
        <v>5.5924495469483117E-2</v>
      </c>
      <c r="BN18" s="10">
        <v>-5292.3902113705863</v>
      </c>
      <c r="BO18" s="10">
        <v>66.471049545637015</v>
      </c>
      <c r="BP18" s="10">
        <v>-5292.3902113705863</v>
      </c>
      <c r="BQ18" s="10">
        <v>66.471049545637015</v>
      </c>
      <c r="BU18" s="10" t="s">
        <v>10</v>
      </c>
      <c r="BV18" s="10">
        <v>53625.335368781976</v>
      </c>
      <c r="BW18" s="10">
        <v>15103.920422978086</v>
      </c>
      <c r="BX18" s="10">
        <v>3.5504249139978259</v>
      </c>
      <c r="BY18" s="10">
        <v>4.4270737119693807E-4</v>
      </c>
      <c r="BZ18" s="10">
        <v>23909.097712258012</v>
      </c>
      <c r="CA18" s="10">
        <v>83341.573025305945</v>
      </c>
      <c r="CB18" s="10">
        <v>23909.097712258012</v>
      </c>
      <c r="CC18" s="10">
        <v>83341.573025305945</v>
      </c>
      <c r="CG18" s="10" t="s">
        <v>11</v>
      </c>
      <c r="CH18" s="10">
        <v>-5284.8663175152969</v>
      </c>
      <c r="CI18" s="10">
        <v>11209.861311367178</v>
      </c>
      <c r="CJ18" s="10">
        <v>-0.47144796627914243</v>
      </c>
      <c r="CK18" s="10">
        <v>0.637644151039511</v>
      </c>
      <c r="CL18" s="10">
        <v>-27339.729789814974</v>
      </c>
      <c r="CM18" s="10">
        <v>16769.997154784378</v>
      </c>
      <c r="CN18" s="10">
        <v>-27339.729789814974</v>
      </c>
      <c r="CO18" s="10">
        <v>16769.997154784378</v>
      </c>
    </row>
    <row r="22" spans="1:93">
      <c r="M22" t="s">
        <v>143</v>
      </c>
      <c r="Y22" t="s">
        <v>143</v>
      </c>
      <c r="AK22" t="s">
        <v>143</v>
      </c>
      <c r="AW22" t="s">
        <v>143</v>
      </c>
      <c r="BI22" t="s">
        <v>143</v>
      </c>
      <c r="BU22" t="s">
        <v>143</v>
      </c>
      <c r="CG22" t="s">
        <v>143</v>
      </c>
    </row>
    <row r="23" spans="1:93" ht="24.6" thickBot="1"/>
    <row r="24" spans="1:93">
      <c r="M24" s="8" t="s">
        <v>144</v>
      </c>
      <c r="N24" s="8" t="s">
        <v>145</v>
      </c>
      <c r="O24" s="8" t="s">
        <v>146</v>
      </c>
      <c r="Y24" s="8" t="s">
        <v>144</v>
      </c>
      <c r="Z24" s="8" t="s">
        <v>145</v>
      </c>
      <c r="AA24" s="8" t="s">
        <v>146</v>
      </c>
      <c r="AK24" s="8" t="s">
        <v>144</v>
      </c>
      <c r="AL24" s="8" t="s">
        <v>145</v>
      </c>
      <c r="AM24" s="8" t="s">
        <v>146</v>
      </c>
      <c r="AW24" s="8" t="s">
        <v>144</v>
      </c>
      <c r="AX24" s="8" t="s">
        <v>145</v>
      </c>
      <c r="AY24" s="8" t="s">
        <v>146</v>
      </c>
      <c r="BI24" s="8" t="s">
        <v>144</v>
      </c>
      <c r="BJ24" s="8" t="s">
        <v>145</v>
      </c>
      <c r="BK24" s="8" t="s">
        <v>146</v>
      </c>
      <c r="BU24" s="8" t="s">
        <v>144</v>
      </c>
      <c r="BV24" s="8" t="s">
        <v>145</v>
      </c>
      <c r="BW24" s="8" t="s">
        <v>146</v>
      </c>
      <c r="CG24" s="8" t="s">
        <v>144</v>
      </c>
      <c r="CH24" s="8" t="s">
        <v>145</v>
      </c>
      <c r="CI24" s="8" t="s">
        <v>146</v>
      </c>
    </row>
    <row r="25" spans="1:93">
      <c r="M25">
        <v>1</v>
      </c>
      <c r="N25">
        <v>742609.59689901455</v>
      </c>
      <c r="O25">
        <v>-83776.976899014553</v>
      </c>
      <c r="Y25">
        <v>1</v>
      </c>
      <c r="Z25">
        <v>692008.9504884528</v>
      </c>
      <c r="AA25">
        <v>-33176.330488452804</v>
      </c>
      <c r="AK25">
        <v>1</v>
      </c>
      <c r="AL25">
        <v>689279.95752473956</v>
      </c>
      <c r="AM25">
        <v>-30447.33752473956</v>
      </c>
      <c r="AW25">
        <v>1</v>
      </c>
      <c r="AX25">
        <v>651151.65216167911</v>
      </c>
      <c r="AY25">
        <v>7680.9678383208811</v>
      </c>
      <c r="BI25">
        <v>1</v>
      </c>
      <c r="BJ25">
        <v>678686.39070152573</v>
      </c>
      <c r="BK25">
        <v>-19853.770701525733</v>
      </c>
      <c r="BU25">
        <v>1</v>
      </c>
      <c r="BV25">
        <v>725037.1987272721</v>
      </c>
      <c r="BW25">
        <v>-66204.578727272106</v>
      </c>
      <c r="CG25">
        <v>1</v>
      </c>
      <c r="CH25">
        <v>684983.77802477707</v>
      </c>
      <c r="CI25">
        <v>-26151.158024777076</v>
      </c>
    </row>
    <row r="26" spans="1:93">
      <c r="M26">
        <v>2</v>
      </c>
      <c r="N26">
        <v>749210.03264745302</v>
      </c>
      <c r="O26">
        <v>-114774.03264745302</v>
      </c>
      <c r="Y26">
        <v>2</v>
      </c>
      <c r="Z26">
        <v>674528.91319418873</v>
      </c>
      <c r="AA26">
        <v>-40092.913194188732</v>
      </c>
      <c r="AK26">
        <v>2</v>
      </c>
      <c r="AL26">
        <v>791184.13008609414</v>
      </c>
      <c r="AM26">
        <v>-156748.13008609414</v>
      </c>
      <c r="AW26">
        <v>2</v>
      </c>
      <c r="AX26">
        <v>671999.27240706899</v>
      </c>
      <c r="AY26">
        <v>-37563.272407068987</v>
      </c>
      <c r="BI26">
        <v>2</v>
      </c>
      <c r="BJ26">
        <v>681220.96149501076</v>
      </c>
      <c r="BK26">
        <v>-46784.961495010764</v>
      </c>
      <c r="BU26">
        <v>2</v>
      </c>
      <c r="BV26">
        <v>671411.86335849017</v>
      </c>
      <c r="BW26">
        <v>-36975.863358490169</v>
      </c>
      <c r="CG26">
        <v>2</v>
      </c>
      <c r="CH26">
        <v>686569.23792003165</v>
      </c>
      <c r="CI26">
        <v>-52133.23792003165</v>
      </c>
    </row>
    <row r="27" spans="1:93">
      <c r="M27">
        <v>3</v>
      </c>
      <c r="N27">
        <v>771544.480098926</v>
      </c>
      <c r="O27">
        <v>-92822.420098925941</v>
      </c>
      <c r="Y27">
        <v>3</v>
      </c>
      <c r="Z27">
        <v>679384.47910926212</v>
      </c>
      <c r="AA27">
        <v>-662.41910926206037</v>
      </c>
      <c r="AK27">
        <v>3</v>
      </c>
      <c r="AL27">
        <v>740232.04380541691</v>
      </c>
      <c r="AM27">
        <v>-61509.98380541685</v>
      </c>
      <c r="AW27">
        <v>3</v>
      </c>
      <c r="AX27">
        <v>679983.46739466512</v>
      </c>
      <c r="AY27">
        <v>-1261.4073946650606</v>
      </c>
      <c r="BI27">
        <v>3</v>
      </c>
      <c r="BJ27">
        <v>661127.30231779383</v>
      </c>
      <c r="BK27">
        <v>17594.757682206226</v>
      </c>
      <c r="BU27">
        <v>3</v>
      </c>
      <c r="BV27">
        <v>671411.86335849017</v>
      </c>
      <c r="BW27">
        <v>7310.1966415098868</v>
      </c>
      <c r="CG27">
        <v>3</v>
      </c>
      <c r="CH27">
        <v>684455.29139302555</v>
      </c>
      <c r="CI27">
        <v>-5733.2313930254895</v>
      </c>
    </row>
    <row r="28" spans="1:93">
      <c r="M28">
        <v>4</v>
      </c>
      <c r="N28">
        <v>782890.09398002562</v>
      </c>
      <c r="O28">
        <v>-123969.79398002557</v>
      </c>
      <c r="Y28">
        <v>4</v>
      </c>
      <c r="Z28">
        <v>678135.90501681471</v>
      </c>
      <c r="AA28">
        <v>-19215.605016814661</v>
      </c>
      <c r="AK28">
        <v>4</v>
      </c>
      <c r="AL28">
        <v>791184.13008609414</v>
      </c>
      <c r="AM28">
        <v>-132263.83008609409</v>
      </c>
      <c r="AW28">
        <v>4</v>
      </c>
      <c r="AX28">
        <v>677543.85225956631</v>
      </c>
      <c r="AY28">
        <v>-18623.552259566262</v>
      </c>
      <c r="BI28">
        <v>4</v>
      </c>
      <c r="BJ28">
        <v>679496.40817160858</v>
      </c>
      <c r="BK28">
        <v>-20576.108171608532</v>
      </c>
      <c r="BU28">
        <v>4</v>
      </c>
      <c r="BV28">
        <v>671411.86335849017</v>
      </c>
      <c r="BW28">
        <v>-12491.563358490122</v>
      </c>
      <c r="CG28">
        <v>4</v>
      </c>
      <c r="CH28">
        <v>683398.31812952249</v>
      </c>
      <c r="CI28">
        <v>-24478.018129522447</v>
      </c>
    </row>
    <row r="29" spans="1:93">
      <c r="M29">
        <v>5</v>
      </c>
      <c r="N29">
        <v>786957.38952230662</v>
      </c>
      <c r="O29">
        <v>-45615.949522306677</v>
      </c>
      <c r="Y29">
        <v>5</v>
      </c>
      <c r="Z29">
        <v>665788.89454705676</v>
      </c>
      <c r="AA29">
        <v>75552.545452943188</v>
      </c>
      <c r="AK29">
        <v>5</v>
      </c>
      <c r="AL29">
        <v>757216.07256564265</v>
      </c>
      <c r="AM29">
        <v>-15874.632565642707</v>
      </c>
      <c r="AW29">
        <v>5</v>
      </c>
      <c r="AX29">
        <v>701274.65402825468</v>
      </c>
      <c r="AY29">
        <v>40066.785971745267</v>
      </c>
      <c r="BI29">
        <v>5</v>
      </c>
      <c r="BJ29">
        <v>674348.87779721094</v>
      </c>
      <c r="BK29">
        <v>66992.562202789006</v>
      </c>
      <c r="BU29">
        <v>5</v>
      </c>
      <c r="BV29">
        <v>725037.1987272721</v>
      </c>
      <c r="BW29">
        <v>16304.241272727842</v>
      </c>
      <c r="CG29">
        <v>5</v>
      </c>
      <c r="CH29">
        <v>679170.42507551028</v>
      </c>
      <c r="CI29">
        <v>62171.01492448966</v>
      </c>
    </row>
    <row r="30" spans="1:93">
      <c r="M30">
        <v>6</v>
      </c>
      <c r="N30">
        <v>795769.86319724878</v>
      </c>
      <c r="O30">
        <v>-33934.523197248811</v>
      </c>
      <c r="Y30">
        <v>6</v>
      </c>
      <c r="Z30">
        <v>682297.81865830615</v>
      </c>
      <c r="AA30">
        <v>79537.52134169382</v>
      </c>
      <c r="AK30">
        <v>6</v>
      </c>
      <c r="AL30">
        <v>740232.04380541691</v>
      </c>
      <c r="AM30">
        <v>21603.296194583061</v>
      </c>
      <c r="AW30">
        <v>6</v>
      </c>
      <c r="AX30">
        <v>671555.70601886918</v>
      </c>
      <c r="AY30">
        <v>90279.633981130784</v>
      </c>
      <c r="BI30">
        <v>6</v>
      </c>
      <c r="BJ30">
        <v>684957.49369571568</v>
      </c>
      <c r="BK30">
        <v>76877.846304284292</v>
      </c>
      <c r="BU30">
        <v>6</v>
      </c>
      <c r="BV30">
        <v>671411.86335849017</v>
      </c>
      <c r="BW30">
        <v>90423.476641509798</v>
      </c>
      <c r="CG30">
        <v>6</v>
      </c>
      <c r="CH30">
        <v>679170.42507551028</v>
      </c>
      <c r="CI30">
        <v>82664.914924489683</v>
      </c>
    </row>
    <row r="31" spans="1:93">
      <c r="M31">
        <v>7</v>
      </c>
      <c r="N31">
        <v>825168.56080110453</v>
      </c>
      <c r="O31">
        <v>-18553.020801104489</v>
      </c>
      <c r="Y31">
        <v>7</v>
      </c>
      <c r="Z31">
        <v>680910.51411114226</v>
      </c>
      <c r="AA31">
        <v>125705.02588885778</v>
      </c>
      <c r="AK31">
        <v>7</v>
      </c>
      <c r="AL31">
        <v>774200.1013258684</v>
      </c>
      <c r="AM31">
        <v>32415.438674131641</v>
      </c>
      <c r="AW31">
        <v>7</v>
      </c>
      <c r="AX31">
        <v>673773.53795986809</v>
      </c>
      <c r="AY31">
        <v>132842.00204013195</v>
      </c>
      <c r="BI31">
        <v>7</v>
      </c>
      <c r="BJ31">
        <v>691960.22537256102</v>
      </c>
      <c r="BK31">
        <v>114655.31462743902</v>
      </c>
      <c r="BU31">
        <v>7</v>
      </c>
      <c r="BV31">
        <v>725037.1987272721</v>
      </c>
      <c r="BW31">
        <v>81578.341272727936</v>
      </c>
      <c r="CG31">
        <v>7</v>
      </c>
      <c r="CH31">
        <v>679698.91170726181</v>
      </c>
      <c r="CI31">
        <v>126916.62829273823</v>
      </c>
    </row>
    <row r="32" spans="1:93">
      <c r="M32">
        <v>8</v>
      </c>
      <c r="N32">
        <v>752064.27513326425</v>
      </c>
      <c r="O32">
        <v>98099.984866735758</v>
      </c>
      <c r="Y32">
        <v>8</v>
      </c>
      <c r="Z32">
        <v>680216.86183756043</v>
      </c>
      <c r="AA32">
        <v>169947.39816243958</v>
      </c>
      <c r="AK32">
        <v>8</v>
      </c>
      <c r="AL32">
        <v>791184.13008609414</v>
      </c>
      <c r="AM32">
        <v>58980.129913905868</v>
      </c>
      <c r="AW32">
        <v>8</v>
      </c>
      <c r="AX32">
        <v>696838.99014625687</v>
      </c>
      <c r="AY32">
        <v>153325.26985374314</v>
      </c>
      <c r="BI32">
        <v>8</v>
      </c>
      <c r="BJ32">
        <v>690392.44962401362</v>
      </c>
      <c r="BK32">
        <v>159771.81037598639</v>
      </c>
      <c r="BU32">
        <v>8</v>
      </c>
      <c r="BV32">
        <v>671411.86335849017</v>
      </c>
      <c r="BW32">
        <v>178752.39664150984</v>
      </c>
      <c r="CG32">
        <v>8</v>
      </c>
      <c r="CH32">
        <v>680755.88497076486</v>
      </c>
      <c r="CI32">
        <v>169408.37502923515</v>
      </c>
    </row>
    <row r="33" spans="13:87">
      <c r="M33">
        <v>9</v>
      </c>
      <c r="N33">
        <v>838119.68608047301</v>
      </c>
      <c r="O33">
        <v>92462.013919526944</v>
      </c>
      <c r="Y33">
        <v>9</v>
      </c>
      <c r="Z33">
        <v>668008.58182251884</v>
      </c>
      <c r="AA33">
        <v>262573.11817748111</v>
      </c>
      <c r="AK33">
        <v>9</v>
      </c>
      <c r="AL33">
        <v>842136.21636677138</v>
      </c>
      <c r="AM33">
        <v>88445.483633228578</v>
      </c>
      <c r="AW33">
        <v>9</v>
      </c>
      <c r="AX33">
        <v>681314.16655926441</v>
      </c>
      <c r="AY33">
        <v>249267.53344073554</v>
      </c>
      <c r="BI33">
        <v>9</v>
      </c>
      <c r="BJ33">
        <v>672363.02851571748</v>
      </c>
      <c r="BK33">
        <v>258218.67148428247</v>
      </c>
      <c r="BU33">
        <v>9</v>
      </c>
      <c r="BV33">
        <v>725037.1987272721</v>
      </c>
      <c r="BW33">
        <v>205544.50127272785</v>
      </c>
      <c r="CG33">
        <v>9</v>
      </c>
      <c r="CH33">
        <v>681284.37160251639</v>
      </c>
      <c r="CI33">
        <v>249297.32839748356</v>
      </c>
    </row>
    <row r="34" spans="13:87">
      <c r="M34">
        <v>10</v>
      </c>
      <c r="N34">
        <v>783889.07885005954</v>
      </c>
      <c r="O34">
        <v>-4878.1388500595931</v>
      </c>
      <c r="Y34">
        <v>10</v>
      </c>
      <c r="Z34">
        <v>667314.92954893701</v>
      </c>
      <c r="AA34">
        <v>111696.01045106293</v>
      </c>
      <c r="AK34">
        <v>10</v>
      </c>
      <c r="AL34">
        <v>757216.07256564265</v>
      </c>
      <c r="AM34">
        <v>21794.867434357293</v>
      </c>
      <c r="AW34">
        <v>10</v>
      </c>
      <c r="AX34">
        <v>673329.97157166828</v>
      </c>
      <c r="AY34">
        <v>105680.96842833166</v>
      </c>
      <c r="BI34">
        <v>10</v>
      </c>
      <c r="BJ34">
        <v>687492.06448920071</v>
      </c>
      <c r="BK34">
        <v>91518.875510799233</v>
      </c>
      <c r="BU34">
        <v>10</v>
      </c>
      <c r="BV34">
        <v>671411.86335849017</v>
      </c>
      <c r="BW34">
        <v>107599.07664150978</v>
      </c>
      <c r="CG34">
        <v>10</v>
      </c>
      <c r="CH34">
        <v>679170.42507551028</v>
      </c>
      <c r="CI34">
        <v>99840.51492448966</v>
      </c>
    </row>
    <row r="35" spans="13:87">
      <c r="M35">
        <v>11</v>
      </c>
      <c r="N35">
        <v>773649.48393221176</v>
      </c>
      <c r="O35">
        <v>-50588.723932211753</v>
      </c>
      <c r="Y35">
        <v>11</v>
      </c>
      <c r="Z35">
        <v>668286.04273195169</v>
      </c>
      <c r="AA35">
        <v>54774.71726804832</v>
      </c>
      <c r="AK35">
        <v>11</v>
      </c>
      <c r="AL35">
        <v>774200.1013258684</v>
      </c>
      <c r="AM35">
        <v>-51139.341325868387</v>
      </c>
      <c r="AW35">
        <v>11</v>
      </c>
      <c r="AX35">
        <v>680648.81697696471</v>
      </c>
      <c r="AY35">
        <v>42411.943023035303</v>
      </c>
      <c r="BI35">
        <v>11</v>
      </c>
      <c r="BJ35">
        <v>665151.26007239905</v>
      </c>
      <c r="BK35">
        <v>57909.499927600962</v>
      </c>
      <c r="BU35">
        <v>11</v>
      </c>
      <c r="BV35">
        <v>725037.1987272721</v>
      </c>
      <c r="BW35">
        <v>-1976.4387272720924</v>
      </c>
      <c r="CG35">
        <v>11</v>
      </c>
      <c r="CH35">
        <v>681284.37160251639</v>
      </c>
      <c r="CI35">
        <v>41776.388397483621</v>
      </c>
    </row>
    <row r="36" spans="13:87">
      <c r="M36">
        <v>12</v>
      </c>
      <c r="N36">
        <v>847074.87187970581</v>
      </c>
      <c r="O36">
        <v>63717.068120294134</v>
      </c>
      <c r="Y36">
        <v>12</v>
      </c>
      <c r="Z36">
        <v>697558.16867710801</v>
      </c>
      <c r="AA36">
        <v>213233.77132289193</v>
      </c>
      <c r="AK36">
        <v>12</v>
      </c>
      <c r="AL36">
        <v>876104.27388722298</v>
      </c>
      <c r="AM36">
        <v>34687.666112776962</v>
      </c>
      <c r="AW36">
        <v>12</v>
      </c>
      <c r="AX36">
        <v>673995.32115396799</v>
      </c>
      <c r="AY36">
        <v>236796.61884603195</v>
      </c>
      <c r="BI36">
        <v>12</v>
      </c>
      <c r="BJ36">
        <v>673774.02668941021</v>
      </c>
      <c r="BK36">
        <v>237017.91331058973</v>
      </c>
      <c r="BU36">
        <v>12</v>
      </c>
      <c r="BV36">
        <v>671411.86335849017</v>
      </c>
      <c r="BW36">
        <v>239380.07664150978</v>
      </c>
      <c r="CG36">
        <v>12</v>
      </c>
      <c r="CH36">
        <v>681284.37160251639</v>
      </c>
      <c r="CI36">
        <v>229507.56839748356</v>
      </c>
    </row>
    <row r="37" spans="13:87">
      <c r="M37">
        <v>13</v>
      </c>
      <c r="N37">
        <v>902197.42988693528</v>
      </c>
      <c r="O37">
        <v>19971.170113064698</v>
      </c>
      <c r="Y37">
        <v>13</v>
      </c>
      <c r="Z37">
        <v>681742.89683944057</v>
      </c>
      <c r="AA37">
        <v>240425.70316055941</v>
      </c>
      <c r="AK37">
        <v>13</v>
      </c>
      <c r="AL37">
        <v>910072.33140767447</v>
      </c>
      <c r="AM37">
        <v>12096.268592325505</v>
      </c>
      <c r="AW37">
        <v>13</v>
      </c>
      <c r="AX37">
        <v>666011.12616637186</v>
      </c>
      <c r="AY37">
        <v>256157.47383362812</v>
      </c>
      <c r="BI37">
        <v>13</v>
      </c>
      <c r="BJ37">
        <v>681403.8686656747</v>
      </c>
      <c r="BK37">
        <v>240764.73133432528</v>
      </c>
      <c r="BU37">
        <v>13</v>
      </c>
      <c r="BV37">
        <v>725037.1987272721</v>
      </c>
      <c r="BW37">
        <v>197131.40127272788</v>
      </c>
      <c r="CG37">
        <v>13</v>
      </c>
      <c r="CH37">
        <v>679170.42507551028</v>
      </c>
      <c r="CI37">
        <v>242998.17492448969</v>
      </c>
    </row>
    <row r="38" spans="13:87">
      <c r="M38">
        <v>14</v>
      </c>
      <c r="N38">
        <v>805117.50733828056</v>
      </c>
      <c r="O38">
        <v>-78511.227338280529</v>
      </c>
      <c r="Y38">
        <v>14</v>
      </c>
      <c r="Z38">
        <v>677580.98319794913</v>
      </c>
      <c r="AA38">
        <v>49025.2968020509</v>
      </c>
      <c r="AK38">
        <v>14</v>
      </c>
      <c r="AL38">
        <v>808168.15884631989</v>
      </c>
      <c r="AM38">
        <v>-81561.878846319858</v>
      </c>
      <c r="AW38">
        <v>14</v>
      </c>
      <c r="AX38">
        <v>673108.1883775685</v>
      </c>
      <c r="AY38">
        <v>53498.09162243153</v>
      </c>
      <c r="BI38">
        <v>14</v>
      </c>
      <c r="BJ38">
        <v>689713.08013297629</v>
      </c>
      <c r="BK38">
        <v>36893.199867023737</v>
      </c>
      <c r="BU38">
        <v>14</v>
      </c>
      <c r="BV38">
        <v>671411.86335849017</v>
      </c>
      <c r="BW38">
        <v>55194.416641509859</v>
      </c>
      <c r="CG38">
        <v>14</v>
      </c>
      <c r="CH38">
        <v>678641.93844375876</v>
      </c>
      <c r="CI38">
        <v>47964.34155624127</v>
      </c>
    </row>
    <row r="39" spans="13:87">
      <c r="M39">
        <v>15</v>
      </c>
      <c r="N39">
        <v>763766.66932509025</v>
      </c>
      <c r="O39">
        <v>-17265.579325090279</v>
      </c>
      <c r="Y39">
        <v>15</v>
      </c>
      <c r="Z39">
        <v>666205.08591120597</v>
      </c>
      <c r="AA39">
        <v>80296.004088793998</v>
      </c>
      <c r="AK39">
        <v>15</v>
      </c>
      <c r="AL39">
        <v>791184.13008609414</v>
      </c>
      <c r="AM39">
        <v>-44683.040086094174</v>
      </c>
      <c r="AW39">
        <v>15</v>
      </c>
      <c r="AX39">
        <v>681757.73294746422</v>
      </c>
      <c r="AY39">
        <v>64743.35705253575</v>
      </c>
      <c r="BI39">
        <v>15</v>
      </c>
      <c r="BJ39">
        <v>691777.3182018972</v>
      </c>
      <c r="BK39">
        <v>54723.771798102767</v>
      </c>
      <c r="BU39">
        <v>15</v>
      </c>
      <c r="BV39">
        <v>671411.86335849017</v>
      </c>
      <c r="BW39">
        <v>75089.226641509798</v>
      </c>
      <c r="CG39">
        <v>15</v>
      </c>
      <c r="CH39">
        <v>678641.93844375876</v>
      </c>
      <c r="CI39">
        <v>67859.15155624121</v>
      </c>
    </row>
    <row r="40" spans="13:87">
      <c r="M40">
        <v>16</v>
      </c>
      <c r="N40">
        <v>836728.24286863999</v>
      </c>
      <c r="O40">
        <v>-2711.2228686399758</v>
      </c>
      <c r="Y40">
        <v>16</v>
      </c>
      <c r="Z40">
        <v>697003.24685824243</v>
      </c>
      <c r="AA40">
        <v>137013.77314175759</v>
      </c>
      <c r="AK40">
        <v>16</v>
      </c>
      <c r="AL40">
        <v>842136.21636677138</v>
      </c>
      <c r="AM40">
        <v>-8119.1963667713571</v>
      </c>
      <c r="AW40">
        <v>16</v>
      </c>
      <c r="AX40">
        <v>654478.40007317753</v>
      </c>
      <c r="AY40">
        <v>179538.61992682249</v>
      </c>
      <c r="BI40">
        <v>16</v>
      </c>
      <c r="BJ40">
        <v>689033.71064193908</v>
      </c>
      <c r="BK40">
        <v>144983.30935806094</v>
      </c>
      <c r="BU40">
        <v>16</v>
      </c>
      <c r="BV40">
        <v>671411.86335849017</v>
      </c>
      <c r="BW40">
        <v>162605.15664150985</v>
      </c>
      <c r="CG40">
        <v>16</v>
      </c>
      <c r="CH40">
        <v>677584.96518025571</v>
      </c>
      <c r="CI40">
        <v>156432.05481974431</v>
      </c>
    </row>
    <row r="41" spans="13:87">
      <c r="M41">
        <v>17</v>
      </c>
      <c r="N41">
        <v>698190.44821357715</v>
      </c>
      <c r="O41">
        <v>-32037.928213577135</v>
      </c>
      <c r="Y41">
        <v>17</v>
      </c>
      <c r="Z41">
        <v>697141.9773129588</v>
      </c>
      <c r="AA41">
        <v>-30989.457312958781</v>
      </c>
      <c r="AK41">
        <v>17</v>
      </c>
      <c r="AL41">
        <v>655311.90000428807</v>
      </c>
      <c r="AM41">
        <v>10840.619995711953</v>
      </c>
      <c r="AW41">
        <v>17</v>
      </c>
      <c r="AX41">
        <v>679318.11781236541</v>
      </c>
      <c r="AY41">
        <v>-13165.597812365391</v>
      </c>
      <c r="BI41">
        <v>17</v>
      </c>
      <c r="BJ41">
        <v>689295.00660003035</v>
      </c>
      <c r="BK41">
        <v>-23142.48660003033</v>
      </c>
      <c r="BU41">
        <v>17</v>
      </c>
      <c r="BV41">
        <v>671411.86335849017</v>
      </c>
      <c r="BW41">
        <v>-5259.3433584901504</v>
      </c>
      <c r="CG41">
        <v>17</v>
      </c>
      <c r="CH41">
        <v>681812.85823426791</v>
      </c>
      <c r="CI41">
        <v>-15660.338234267896</v>
      </c>
    </row>
    <row r="42" spans="13:87">
      <c r="M42">
        <v>18</v>
      </c>
      <c r="N42">
        <v>598506.02939661965</v>
      </c>
      <c r="O42">
        <v>-25350.839396619704</v>
      </c>
      <c r="Y42">
        <v>18</v>
      </c>
      <c r="Z42">
        <v>681326.70547529147</v>
      </c>
      <c r="AA42">
        <v>-108171.51547529153</v>
      </c>
      <c r="AK42">
        <v>18</v>
      </c>
      <c r="AL42">
        <v>553407.72744293348</v>
      </c>
      <c r="AM42">
        <v>19747.462557066465</v>
      </c>
      <c r="AW42">
        <v>18</v>
      </c>
      <c r="AX42">
        <v>679096.33461826551</v>
      </c>
      <c r="AY42">
        <v>-105941.14461826556</v>
      </c>
      <c r="BI42">
        <v>18</v>
      </c>
      <c r="BJ42">
        <v>682004.84936928458</v>
      </c>
      <c r="BK42">
        <v>-108849.65936928464</v>
      </c>
      <c r="BU42">
        <v>18</v>
      </c>
      <c r="BV42">
        <v>671411.86335849017</v>
      </c>
      <c r="BW42">
        <v>-98256.673358490225</v>
      </c>
      <c r="CG42">
        <v>18</v>
      </c>
      <c r="CH42">
        <v>682341.34486601944</v>
      </c>
      <c r="CI42">
        <v>-109186.1548660195</v>
      </c>
    </row>
    <row r="43" spans="13:87">
      <c r="M43">
        <v>19</v>
      </c>
      <c r="N43">
        <v>643995.51901423628</v>
      </c>
      <c r="O43">
        <v>22577.680985763669</v>
      </c>
      <c r="Y43">
        <v>19</v>
      </c>
      <c r="Z43">
        <v>697835.62958654074</v>
      </c>
      <c r="AA43">
        <v>-31262.429586540791</v>
      </c>
      <c r="AK43">
        <v>19</v>
      </c>
      <c r="AL43">
        <v>655311.90000428807</v>
      </c>
      <c r="AM43">
        <v>11261.299995711888</v>
      </c>
      <c r="AW43">
        <v>19</v>
      </c>
      <c r="AX43">
        <v>693512.24223475845</v>
      </c>
      <c r="AY43">
        <v>-26939.042234758497</v>
      </c>
      <c r="BI43">
        <v>19</v>
      </c>
      <c r="BJ43">
        <v>691960.22537256102</v>
      </c>
      <c r="BK43">
        <v>-25387.025372561067</v>
      </c>
      <c r="BU43">
        <v>19</v>
      </c>
      <c r="BV43">
        <v>671411.86335849017</v>
      </c>
      <c r="BW43">
        <v>-4838.6633584902156</v>
      </c>
      <c r="CG43">
        <v>19</v>
      </c>
      <c r="CH43">
        <v>680755.88497076486</v>
      </c>
      <c r="CI43">
        <v>-14182.684970764909</v>
      </c>
    </row>
    <row r="44" spans="13:87">
      <c r="M44">
        <v>20</v>
      </c>
      <c r="N44">
        <v>619984.20410234923</v>
      </c>
      <c r="O44">
        <v>-28364.254102349281</v>
      </c>
      <c r="Y44">
        <v>20</v>
      </c>
      <c r="Z44">
        <v>675916.21774135262</v>
      </c>
      <c r="AA44">
        <v>-84296.267741352669</v>
      </c>
      <c r="AK44">
        <v>20</v>
      </c>
      <c r="AL44">
        <v>672295.92876451381</v>
      </c>
      <c r="AM44">
        <v>-80675.978764513857</v>
      </c>
      <c r="AW44">
        <v>20</v>
      </c>
      <c r="AX44">
        <v>680648.81697696471</v>
      </c>
      <c r="AY44">
        <v>-89028.866976964753</v>
      </c>
      <c r="BI44">
        <v>20</v>
      </c>
      <c r="BJ44">
        <v>691176.33749828732</v>
      </c>
      <c r="BK44">
        <v>-99556.387498287368</v>
      </c>
      <c r="BU44">
        <v>20</v>
      </c>
      <c r="BV44">
        <v>671411.86335849017</v>
      </c>
      <c r="BW44">
        <v>-79791.913358490216</v>
      </c>
      <c r="CG44">
        <v>20</v>
      </c>
      <c r="CH44">
        <v>680227.39833901334</v>
      </c>
      <c r="CI44">
        <v>-88607.448339013383</v>
      </c>
    </row>
    <row r="45" spans="13:87">
      <c r="M45">
        <v>21</v>
      </c>
      <c r="N45">
        <v>547093.98662094481</v>
      </c>
      <c r="O45">
        <v>-131372.1666209448</v>
      </c>
      <c r="Y45">
        <v>21</v>
      </c>
      <c r="Z45">
        <v>665788.89454705676</v>
      </c>
      <c r="AA45">
        <v>-250067.07454705675</v>
      </c>
      <c r="AK45">
        <v>21</v>
      </c>
      <c r="AL45">
        <v>553407.72744293348</v>
      </c>
      <c r="AM45">
        <v>-137685.90744293347</v>
      </c>
      <c r="AW45">
        <v>21</v>
      </c>
      <c r="AX45">
        <v>672886.40518346848</v>
      </c>
      <c r="AY45">
        <v>-257164.58518346847</v>
      </c>
      <c r="BI45">
        <v>21</v>
      </c>
      <c r="BJ45">
        <v>674322.7482014019</v>
      </c>
      <c r="BK45">
        <v>-258600.9282014019</v>
      </c>
      <c r="BU45">
        <v>21</v>
      </c>
      <c r="BV45">
        <v>671411.86335849017</v>
      </c>
      <c r="BW45">
        <v>-255690.04335849016</v>
      </c>
      <c r="CG45">
        <v>21</v>
      </c>
      <c r="CH45">
        <v>674942.53202149796</v>
      </c>
      <c r="CI45">
        <v>-259220.71202149795</v>
      </c>
    </row>
    <row r="46" spans="13:87">
      <c r="M46">
        <v>22</v>
      </c>
      <c r="N46">
        <v>522083.68683902384</v>
      </c>
      <c r="O46">
        <v>-30178.556839023833</v>
      </c>
      <c r="Y46">
        <v>22</v>
      </c>
      <c r="Z46">
        <v>673419.06955645769</v>
      </c>
      <c r="AA46">
        <v>-181513.93955645768</v>
      </c>
      <c r="AK46">
        <v>22</v>
      </c>
      <c r="AL46">
        <v>536423.69868270773</v>
      </c>
      <c r="AM46">
        <v>-44518.56868270773</v>
      </c>
      <c r="AW46">
        <v>22</v>
      </c>
      <c r="AX46">
        <v>681092.38336516451</v>
      </c>
      <c r="AY46">
        <v>-189187.25336516451</v>
      </c>
      <c r="BI46">
        <v>22</v>
      </c>
      <c r="BJ46">
        <v>691960.22537256102</v>
      </c>
      <c r="BK46">
        <v>-200055.09537256102</v>
      </c>
      <c r="BU46">
        <v>22</v>
      </c>
      <c r="BV46">
        <v>671411.86335849017</v>
      </c>
      <c r="BW46">
        <v>-179506.73335849016</v>
      </c>
      <c r="CG46">
        <v>22</v>
      </c>
      <c r="CH46">
        <v>674942.53202149796</v>
      </c>
      <c r="CI46">
        <v>-183037.40202149795</v>
      </c>
    </row>
    <row r="47" spans="13:87">
      <c r="M47">
        <v>23</v>
      </c>
      <c r="N47">
        <v>566431.47946231591</v>
      </c>
      <c r="O47">
        <v>-10502.079462315887</v>
      </c>
      <c r="Y47">
        <v>23</v>
      </c>
      <c r="Z47">
        <v>675638.75683191977</v>
      </c>
      <c r="AA47">
        <v>-119709.35683191975</v>
      </c>
      <c r="AK47">
        <v>23</v>
      </c>
      <c r="AL47">
        <v>621343.84248383646</v>
      </c>
      <c r="AM47">
        <v>-65414.442483836436</v>
      </c>
      <c r="AW47">
        <v>23</v>
      </c>
      <c r="AX47">
        <v>666676.47574867157</v>
      </c>
      <c r="AY47">
        <v>-110747.07574867154</v>
      </c>
      <c r="BI47">
        <v>23</v>
      </c>
      <c r="BJ47">
        <v>688275.95236347453</v>
      </c>
      <c r="BK47">
        <v>-132346.5523634745</v>
      </c>
      <c r="BU47">
        <v>23</v>
      </c>
      <c r="BV47">
        <v>725037.1987272721</v>
      </c>
      <c r="BW47">
        <v>-169107.79872727208</v>
      </c>
      <c r="CG47">
        <v>23</v>
      </c>
      <c r="CH47">
        <v>677056.47854850418</v>
      </c>
      <c r="CI47">
        <v>-121127.07854850416</v>
      </c>
    </row>
    <row r="48" spans="13:87">
      <c r="M48">
        <v>24</v>
      </c>
      <c r="N48">
        <v>539637.27812676295</v>
      </c>
      <c r="O48">
        <v>26173.711873237044</v>
      </c>
      <c r="Y48">
        <v>24</v>
      </c>
      <c r="Z48">
        <v>667869.85136780248</v>
      </c>
      <c r="AA48">
        <v>-102058.86136780248</v>
      </c>
      <c r="AK48">
        <v>24</v>
      </c>
      <c r="AL48">
        <v>604359.81372361071</v>
      </c>
      <c r="AM48">
        <v>-38548.823723610723</v>
      </c>
      <c r="AW48">
        <v>24</v>
      </c>
      <c r="AX48">
        <v>689076.57835276064</v>
      </c>
      <c r="AY48">
        <v>-123265.58835276065</v>
      </c>
      <c r="BI48">
        <v>24</v>
      </c>
      <c r="BJ48">
        <v>688432.7299383292</v>
      </c>
      <c r="BK48">
        <v>-122621.73993832921</v>
      </c>
      <c r="BU48">
        <v>24</v>
      </c>
      <c r="BV48">
        <v>671411.86335849017</v>
      </c>
      <c r="BW48">
        <v>-105600.87335849018</v>
      </c>
      <c r="CG48">
        <v>24</v>
      </c>
      <c r="CH48">
        <v>676527.99191675265</v>
      </c>
      <c r="CI48">
        <v>-110717.00191675266</v>
      </c>
    </row>
    <row r="49" spans="13:87">
      <c r="M49">
        <v>25</v>
      </c>
      <c r="N49">
        <v>810968.70443419367</v>
      </c>
      <c r="O49">
        <v>802.43556580634322</v>
      </c>
      <c r="Y49">
        <v>25</v>
      </c>
      <c r="Z49">
        <v>681049.24456585874</v>
      </c>
      <c r="AA49">
        <v>130721.89543414128</v>
      </c>
      <c r="AK49">
        <v>25</v>
      </c>
      <c r="AL49">
        <v>825152.18760654563</v>
      </c>
      <c r="AM49">
        <v>-13381.047606545617</v>
      </c>
      <c r="AW49">
        <v>25</v>
      </c>
      <c r="AX49">
        <v>695064.72459345777</v>
      </c>
      <c r="AY49">
        <v>116706.41540654225</v>
      </c>
      <c r="BI49">
        <v>25</v>
      </c>
      <c r="BJ49">
        <v>684670.06814181525</v>
      </c>
      <c r="BK49">
        <v>127101.07185818476</v>
      </c>
      <c r="BU49">
        <v>25</v>
      </c>
      <c r="BV49">
        <v>671411.86335849017</v>
      </c>
      <c r="BW49">
        <v>140359.27664150984</v>
      </c>
      <c r="CG49">
        <v>25</v>
      </c>
      <c r="CH49">
        <v>682869.83149777097</v>
      </c>
      <c r="CI49">
        <v>128901.30850222905</v>
      </c>
    </row>
    <row r="50" spans="13:87">
      <c r="M50">
        <v>26</v>
      </c>
      <c r="N50">
        <v>764908.36631941481</v>
      </c>
      <c r="O50">
        <v>35543.573680585134</v>
      </c>
      <c r="Y50">
        <v>26</v>
      </c>
      <c r="Z50">
        <v>678413.36592624744</v>
      </c>
      <c r="AA50">
        <v>122038.5740737525</v>
      </c>
      <c r="AK50">
        <v>26</v>
      </c>
      <c r="AL50">
        <v>774200.1013258684</v>
      </c>
      <c r="AM50">
        <v>26251.838674131548</v>
      </c>
      <c r="AW50">
        <v>26</v>
      </c>
      <c r="AX50">
        <v>675991.36990086699</v>
      </c>
      <c r="AY50">
        <v>124460.57009913295</v>
      </c>
      <c r="BI50">
        <v>26</v>
      </c>
      <c r="BJ50">
        <v>674087.58183911978</v>
      </c>
      <c r="BK50">
        <v>126364.35816088016</v>
      </c>
      <c r="BU50">
        <v>26</v>
      </c>
      <c r="BV50">
        <v>671411.86335849017</v>
      </c>
      <c r="BW50">
        <v>129040.07664150978</v>
      </c>
      <c r="CG50">
        <v>26</v>
      </c>
      <c r="CH50">
        <v>680755.88497076486</v>
      </c>
      <c r="CI50">
        <v>119696.05502923508</v>
      </c>
    </row>
    <row r="51" spans="13:87">
      <c r="M51">
        <v>27</v>
      </c>
      <c r="N51">
        <v>778751.44237559929</v>
      </c>
      <c r="O51">
        <v>4921.3776244006585</v>
      </c>
      <c r="Y51">
        <v>27</v>
      </c>
      <c r="Z51">
        <v>674390.18273947237</v>
      </c>
      <c r="AA51">
        <v>109282.63726052758</v>
      </c>
      <c r="AK51">
        <v>27</v>
      </c>
      <c r="AL51">
        <v>791184.13008609414</v>
      </c>
      <c r="AM51">
        <v>-7511.3100860941922</v>
      </c>
      <c r="AW51">
        <v>27</v>
      </c>
      <c r="AX51">
        <v>688633.01196456084</v>
      </c>
      <c r="AY51">
        <v>95039.808035439113</v>
      </c>
      <c r="BI51">
        <v>27</v>
      </c>
      <c r="BJ51">
        <v>679574.79695903591</v>
      </c>
      <c r="BK51">
        <v>104098.02304096404</v>
      </c>
      <c r="BU51">
        <v>27</v>
      </c>
      <c r="BV51">
        <v>671411.86335849017</v>
      </c>
      <c r="BW51">
        <v>112260.95664150978</v>
      </c>
      <c r="CG51">
        <v>27</v>
      </c>
      <c r="CH51">
        <v>680227.39833901334</v>
      </c>
      <c r="CI51">
        <v>103445.42166098661</v>
      </c>
    </row>
    <row r="52" spans="13:87">
      <c r="M52">
        <v>28</v>
      </c>
      <c r="N52">
        <v>704113.00137163547</v>
      </c>
      <c r="O52">
        <v>-2471.0313716355013</v>
      </c>
      <c r="Y52">
        <v>28</v>
      </c>
      <c r="Z52">
        <v>680910.51411114226</v>
      </c>
      <c r="AA52">
        <v>20731.455888857716</v>
      </c>
      <c r="AK52">
        <v>28</v>
      </c>
      <c r="AL52">
        <v>672295.92876451381</v>
      </c>
      <c r="AM52">
        <v>29346.041235486162</v>
      </c>
      <c r="AW52">
        <v>28</v>
      </c>
      <c r="AX52">
        <v>671555.70601886918</v>
      </c>
      <c r="AY52">
        <v>30086.263981130789</v>
      </c>
      <c r="BI52">
        <v>28</v>
      </c>
      <c r="BJ52">
        <v>650283.52005700709</v>
      </c>
      <c r="BK52">
        <v>51358.449942992884</v>
      </c>
      <c r="BU52">
        <v>28</v>
      </c>
      <c r="BV52">
        <v>671411.86335849017</v>
      </c>
      <c r="BW52">
        <v>30230.106641509803</v>
      </c>
      <c r="CG52">
        <v>28</v>
      </c>
      <c r="CH52">
        <v>681812.85823426791</v>
      </c>
      <c r="CI52">
        <v>19829.111765732057</v>
      </c>
    </row>
    <row r="53" spans="13:87">
      <c r="M53">
        <v>29</v>
      </c>
      <c r="N53">
        <v>588694.57085164357</v>
      </c>
      <c r="O53">
        <v>-76850.160851643595</v>
      </c>
      <c r="Y53">
        <v>29</v>
      </c>
      <c r="Z53">
        <v>680633.05320170952</v>
      </c>
      <c r="AA53">
        <v>-168788.64320170955</v>
      </c>
      <c r="AK53">
        <v>29</v>
      </c>
      <c r="AL53">
        <v>587375.78496338497</v>
      </c>
      <c r="AM53">
        <v>-75531.374963384995</v>
      </c>
      <c r="AW53">
        <v>29</v>
      </c>
      <c r="AX53">
        <v>673329.97157166828</v>
      </c>
      <c r="AY53">
        <v>-161485.56157166831</v>
      </c>
      <c r="BI53">
        <v>29</v>
      </c>
      <c r="BJ53">
        <v>691228.59668990562</v>
      </c>
      <c r="BK53">
        <v>-179384.18668990565</v>
      </c>
      <c r="BU53">
        <v>29</v>
      </c>
      <c r="BV53">
        <v>671411.86335849017</v>
      </c>
      <c r="BW53">
        <v>-159567.45335849019</v>
      </c>
      <c r="CG53">
        <v>29</v>
      </c>
      <c r="CH53">
        <v>682341.34486601944</v>
      </c>
      <c r="CI53">
        <v>-170496.93486601947</v>
      </c>
    </row>
    <row r="54" spans="13:87">
      <c r="M54">
        <v>30</v>
      </c>
      <c r="N54">
        <v>531681.07719756418</v>
      </c>
      <c r="O54">
        <v>5702.7128024358535</v>
      </c>
      <c r="Y54">
        <v>30</v>
      </c>
      <c r="Z54">
        <v>667869.85136780248</v>
      </c>
      <c r="AA54">
        <v>-130486.06136780244</v>
      </c>
      <c r="AK54">
        <v>30</v>
      </c>
      <c r="AL54">
        <v>553407.72744293348</v>
      </c>
      <c r="AM54">
        <v>-16023.937442933442</v>
      </c>
      <c r="AW54">
        <v>30</v>
      </c>
      <c r="AX54">
        <v>678874.55142416561</v>
      </c>
      <c r="AY54">
        <v>-141490.76142416557</v>
      </c>
      <c r="BI54">
        <v>30</v>
      </c>
      <c r="BJ54">
        <v>691672.79981866071</v>
      </c>
      <c r="BK54">
        <v>-154289.00981866068</v>
      </c>
      <c r="BU54">
        <v>30</v>
      </c>
      <c r="BV54">
        <v>671411.86335849017</v>
      </c>
      <c r="BW54">
        <v>-134028.07335849013</v>
      </c>
      <c r="CG54">
        <v>30</v>
      </c>
      <c r="CH54">
        <v>684983.77802477707</v>
      </c>
      <c r="CI54">
        <v>-147599.98802477703</v>
      </c>
    </row>
    <row r="55" spans="13:87">
      <c r="M55">
        <v>31</v>
      </c>
      <c r="N55">
        <v>534570.99771444802</v>
      </c>
      <c r="O55">
        <v>-34397.977714448003</v>
      </c>
      <c r="Y55">
        <v>31</v>
      </c>
      <c r="Z55">
        <v>678968.28774511302</v>
      </c>
      <c r="AA55">
        <v>-178795.267745113</v>
      </c>
      <c r="AK55">
        <v>31</v>
      </c>
      <c r="AL55">
        <v>587375.78496338497</v>
      </c>
      <c r="AM55">
        <v>-87202.764963384951</v>
      </c>
      <c r="AW55">
        <v>31</v>
      </c>
      <c r="AX55">
        <v>679096.33461826551</v>
      </c>
      <c r="AY55">
        <v>-178923.31461826549</v>
      </c>
      <c r="BI55">
        <v>31</v>
      </c>
      <c r="BJ55">
        <v>684617.80895019707</v>
      </c>
      <c r="BK55">
        <v>-184444.78895019705</v>
      </c>
      <c r="BU55">
        <v>31</v>
      </c>
      <c r="BV55">
        <v>725037.1987272721</v>
      </c>
      <c r="BW55">
        <v>-224864.17872727208</v>
      </c>
      <c r="CG55">
        <v>31</v>
      </c>
      <c r="CH55">
        <v>681812.85823426791</v>
      </c>
      <c r="CI55">
        <v>-181639.8382342679</v>
      </c>
    </row>
    <row r="56" spans="13:87">
      <c r="M56">
        <v>32</v>
      </c>
      <c r="N56">
        <v>481053.9511054873</v>
      </c>
      <c r="O56">
        <v>-53136.571105487295</v>
      </c>
      <c r="Y56">
        <v>32</v>
      </c>
      <c r="Z56">
        <v>674528.91319418873</v>
      </c>
      <c r="AA56">
        <v>-246611.53319418873</v>
      </c>
      <c r="AK56">
        <v>32</v>
      </c>
      <c r="AL56">
        <v>485471.61240203038</v>
      </c>
      <c r="AM56">
        <v>-57554.232402030379</v>
      </c>
      <c r="AW56">
        <v>32</v>
      </c>
      <c r="AX56">
        <v>684197.34808256302</v>
      </c>
      <c r="AY56">
        <v>-256279.96808256302</v>
      </c>
      <c r="BI56">
        <v>32</v>
      </c>
      <c r="BJ56">
        <v>660735.35838065704</v>
      </c>
      <c r="BK56">
        <v>-232817.97838065703</v>
      </c>
      <c r="BU56">
        <v>32</v>
      </c>
      <c r="BV56">
        <v>671411.86335849017</v>
      </c>
      <c r="BW56">
        <v>-243494.48335849016</v>
      </c>
      <c r="CG56">
        <v>32</v>
      </c>
      <c r="CH56">
        <v>682341.34486601944</v>
      </c>
      <c r="CI56">
        <v>-254423.96486601944</v>
      </c>
    </row>
    <row r="57" spans="13:87">
      <c r="M57">
        <v>33</v>
      </c>
      <c r="N57">
        <v>782818.73791788029</v>
      </c>
      <c r="O57">
        <v>-140953.70791788027</v>
      </c>
      <c r="Y57">
        <v>33</v>
      </c>
      <c r="Z57">
        <v>671754.30409986118</v>
      </c>
      <c r="AA57">
        <v>-29889.274099861155</v>
      </c>
      <c r="AK57">
        <v>33</v>
      </c>
      <c r="AL57">
        <v>757216.07256564265</v>
      </c>
      <c r="AM57">
        <v>-115351.04256564262</v>
      </c>
      <c r="AW57">
        <v>33</v>
      </c>
      <c r="AX57">
        <v>669559.65727197018</v>
      </c>
      <c r="AY57">
        <v>-27694.627271970152</v>
      </c>
      <c r="BI57">
        <v>33</v>
      </c>
      <c r="BJ57">
        <v>661885.0605962585</v>
      </c>
      <c r="BK57">
        <v>-20020.030596258468</v>
      </c>
      <c r="BU57">
        <v>33</v>
      </c>
      <c r="BV57">
        <v>671411.86335849017</v>
      </c>
      <c r="BW57">
        <v>-29546.833358490141</v>
      </c>
      <c r="CG57">
        <v>33</v>
      </c>
      <c r="CH57">
        <v>679170.42507551028</v>
      </c>
      <c r="CI57">
        <v>-37305.395075510256</v>
      </c>
    </row>
    <row r="58" spans="13:87">
      <c r="M58">
        <v>34</v>
      </c>
      <c r="N58">
        <v>863665.1563284836</v>
      </c>
      <c r="O58">
        <v>-64187.396328483592</v>
      </c>
      <c r="Y58">
        <v>34</v>
      </c>
      <c r="Z58">
        <v>688124.49775639409</v>
      </c>
      <c r="AA58">
        <v>111353.26224360592</v>
      </c>
      <c r="AK58">
        <v>34</v>
      </c>
      <c r="AL58">
        <v>825152.18760654563</v>
      </c>
      <c r="AM58">
        <v>-25674.427606545622</v>
      </c>
      <c r="AW58">
        <v>34</v>
      </c>
      <c r="AX58">
        <v>672664.62198936869</v>
      </c>
      <c r="AY58">
        <v>126813.13801063132</v>
      </c>
      <c r="BI58">
        <v>34</v>
      </c>
      <c r="BJ58">
        <v>690862.78234857786</v>
      </c>
      <c r="BK58">
        <v>108614.97765142214</v>
      </c>
      <c r="BU58">
        <v>34</v>
      </c>
      <c r="BV58">
        <v>671411.86335849017</v>
      </c>
      <c r="BW58">
        <v>128065.89664150984</v>
      </c>
      <c r="CG58">
        <v>34</v>
      </c>
      <c r="CH58">
        <v>680755.88497076486</v>
      </c>
      <c r="CI58">
        <v>118721.87502923515</v>
      </c>
    </row>
    <row r="59" spans="13:87">
      <c r="M59">
        <v>35</v>
      </c>
      <c r="N59">
        <v>783532.29853933305</v>
      </c>
      <c r="O59">
        <v>15419.871460666996</v>
      </c>
      <c r="Y59">
        <v>35</v>
      </c>
      <c r="Z59">
        <v>692425.1418526019</v>
      </c>
      <c r="AA59">
        <v>106527.02814739814</v>
      </c>
      <c r="AK59">
        <v>35</v>
      </c>
      <c r="AL59">
        <v>791184.13008609414</v>
      </c>
      <c r="AM59">
        <v>7768.0399139059009</v>
      </c>
      <c r="AW59">
        <v>35</v>
      </c>
      <c r="AX59">
        <v>689076.57835276064</v>
      </c>
      <c r="AY59">
        <v>109875.5916472394</v>
      </c>
      <c r="BI59">
        <v>35</v>
      </c>
      <c r="BJ59">
        <v>686943.34297720913</v>
      </c>
      <c r="BK59">
        <v>112008.82702279091</v>
      </c>
      <c r="BU59">
        <v>35</v>
      </c>
      <c r="BV59">
        <v>671411.86335849017</v>
      </c>
      <c r="BW59">
        <v>127540.30664150987</v>
      </c>
      <c r="CG59">
        <v>35</v>
      </c>
      <c r="CH59">
        <v>682869.83149777097</v>
      </c>
      <c r="CI59">
        <v>116082.33850222907</v>
      </c>
    </row>
    <row r="60" spans="13:87">
      <c r="M60">
        <v>36</v>
      </c>
      <c r="N60">
        <v>819353.04173626413</v>
      </c>
      <c r="O60">
        <v>-18373.261736264103</v>
      </c>
      <c r="Y60">
        <v>36</v>
      </c>
      <c r="Z60">
        <v>663569.20727159467</v>
      </c>
      <c r="AA60">
        <v>137410.57272840536</v>
      </c>
      <c r="AK60">
        <v>36</v>
      </c>
      <c r="AL60">
        <v>825152.18760654563</v>
      </c>
      <c r="AM60">
        <v>-24172.407606545603</v>
      </c>
      <c r="AW60">
        <v>36</v>
      </c>
      <c r="AX60">
        <v>704379.61874565319</v>
      </c>
      <c r="AY60">
        <v>96600.161254346836</v>
      </c>
      <c r="BI60">
        <v>36</v>
      </c>
      <c r="BJ60">
        <v>675995.04233318591</v>
      </c>
      <c r="BK60">
        <v>124984.73766681412</v>
      </c>
      <c r="BU60">
        <v>36</v>
      </c>
      <c r="BV60">
        <v>671411.86335849017</v>
      </c>
      <c r="BW60">
        <v>129567.91664150986</v>
      </c>
      <c r="CG60">
        <v>36</v>
      </c>
      <c r="CH60">
        <v>682341.34486601944</v>
      </c>
      <c r="CI60">
        <v>118638.43513398059</v>
      </c>
    </row>
    <row r="61" spans="13:87">
      <c r="M61">
        <v>37</v>
      </c>
      <c r="N61">
        <v>761733.0215539498</v>
      </c>
      <c r="O61">
        <v>58860.908446050249</v>
      </c>
      <c r="Y61">
        <v>37</v>
      </c>
      <c r="Z61">
        <v>685072.4277526337</v>
      </c>
      <c r="AA61">
        <v>135521.50224736636</v>
      </c>
      <c r="AK61">
        <v>37</v>
      </c>
      <c r="AL61">
        <v>757216.07256564265</v>
      </c>
      <c r="AM61">
        <v>63377.8574343574</v>
      </c>
      <c r="AW61">
        <v>37</v>
      </c>
      <c r="AX61">
        <v>669116.09088377038</v>
      </c>
      <c r="AY61">
        <v>151477.83911622968</v>
      </c>
      <c r="BI61">
        <v>37</v>
      </c>
      <c r="BJ61">
        <v>667502.92369522026</v>
      </c>
      <c r="BK61">
        <v>153091.00630477979</v>
      </c>
      <c r="BU61">
        <v>37</v>
      </c>
      <c r="BV61">
        <v>725037.1987272721</v>
      </c>
      <c r="BW61">
        <v>95556.73127272795</v>
      </c>
      <c r="CG61">
        <v>37</v>
      </c>
      <c r="CH61">
        <v>679170.42507551028</v>
      </c>
      <c r="CI61">
        <v>141423.50492448977</v>
      </c>
    </row>
    <row r="62" spans="13:87">
      <c r="M62">
        <v>38</v>
      </c>
      <c r="N62">
        <v>737400.6043624091</v>
      </c>
      <c r="O62">
        <v>-19070.074362409068</v>
      </c>
      <c r="Y62">
        <v>38</v>
      </c>
      <c r="Z62">
        <v>676193.67865078535</v>
      </c>
      <c r="AA62">
        <v>42136.851349214674</v>
      </c>
      <c r="AK62">
        <v>38</v>
      </c>
      <c r="AL62">
        <v>723248.01504519116</v>
      </c>
      <c r="AM62">
        <v>-4917.4850451911334</v>
      </c>
      <c r="AW62">
        <v>38</v>
      </c>
      <c r="AX62">
        <v>690850.84390555974</v>
      </c>
      <c r="AY62">
        <v>27479.686094440287</v>
      </c>
      <c r="BI62">
        <v>38</v>
      </c>
      <c r="BJ62">
        <v>668835.53308148566</v>
      </c>
      <c r="BK62">
        <v>49494.996918514371</v>
      </c>
      <c r="BU62">
        <v>38</v>
      </c>
      <c r="BV62">
        <v>671411.86335849017</v>
      </c>
      <c r="BW62">
        <v>46918.666641509859</v>
      </c>
      <c r="CG62">
        <v>38</v>
      </c>
      <c r="CH62">
        <v>681284.37160251639</v>
      </c>
      <c r="CI62">
        <v>37046.158397483639</v>
      </c>
    </row>
    <row r="63" spans="13:87">
      <c r="M63">
        <v>39</v>
      </c>
      <c r="N63">
        <v>716207.85390526056</v>
      </c>
      <c r="O63">
        <v>20425.54609473946</v>
      </c>
      <c r="Y63">
        <v>39</v>
      </c>
      <c r="Z63">
        <v>670366.99955269741</v>
      </c>
      <c r="AA63">
        <v>66266.400447302614</v>
      </c>
      <c r="AK63">
        <v>39</v>
      </c>
      <c r="AL63">
        <v>723248.01504519116</v>
      </c>
      <c r="AM63">
        <v>13385.384954808862</v>
      </c>
      <c r="AW63">
        <v>39</v>
      </c>
      <c r="AX63">
        <v>668672.52449557057</v>
      </c>
      <c r="AY63">
        <v>67960.875504429452</v>
      </c>
      <c r="BI63">
        <v>39</v>
      </c>
      <c r="BJ63">
        <v>679287.37140513561</v>
      </c>
      <c r="BK63">
        <v>57346.028594864416</v>
      </c>
      <c r="BU63">
        <v>39</v>
      </c>
      <c r="BV63">
        <v>671411.86335849017</v>
      </c>
      <c r="BW63">
        <v>65221.536641509854</v>
      </c>
      <c r="CG63">
        <v>39</v>
      </c>
      <c r="CH63">
        <v>680227.39833901334</v>
      </c>
      <c r="CI63">
        <v>56406.001660986687</v>
      </c>
    </row>
    <row r="64" spans="13:87">
      <c r="M64">
        <v>40</v>
      </c>
      <c r="N64">
        <v>788848.32516915654</v>
      </c>
      <c r="O64">
        <v>39775.524830843438</v>
      </c>
      <c r="Y64">
        <v>40</v>
      </c>
      <c r="Z64">
        <v>686043.54093564837</v>
      </c>
      <c r="AA64">
        <v>142580.3090643516</v>
      </c>
      <c r="AK64">
        <v>40</v>
      </c>
      <c r="AL64">
        <v>808168.15884631989</v>
      </c>
      <c r="AM64">
        <v>20455.691153680091</v>
      </c>
      <c r="AW64">
        <v>40</v>
      </c>
      <c r="AX64">
        <v>702827.13638695399</v>
      </c>
      <c r="AY64">
        <v>125796.71361304598</v>
      </c>
      <c r="BI64">
        <v>40</v>
      </c>
      <c r="BJ64">
        <v>690157.2832617315</v>
      </c>
      <c r="BK64">
        <v>138466.56673826848</v>
      </c>
      <c r="BU64">
        <v>40</v>
      </c>
      <c r="BV64">
        <v>671411.86335849017</v>
      </c>
      <c r="BW64">
        <v>157211.98664150981</v>
      </c>
      <c r="CG64">
        <v>40</v>
      </c>
      <c r="CH64">
        <v>681284.37160251639</v>
      </c>
      <c r="CI64">
        <v>147339.47839748359</v>
      </c>
    </row>
    <row r="65" spans="13:87">
      <c r="M65">
        <v>41</v>
      </c>
      <c r="N65">
        <v>576992.17665981757</v>
      </c>
      <c r="O65">
        <v>15203.673340182402</v>
      </c>
      <c r="Y65">
        <v>41</v>
      </c>
      <c r="Z65">
        <v>667592.39045836974</v>
      </c>
      <c r="AA65">
        <v>-75396.540458369767</v>
      </c>
      <c r="AK65">
        <v>41</v>
      </c>
      <c r="AL65">
        <v>587375.78496338497</v>
      </c>
      <c r="AM65">
        <v>4820.0650366150076</v>
      </c>
      <c r="AW65">
        <v>41</v>
      </c>
      <c r="AX65">
        <v>695951.85736985737</v>
      </c>
      <c r="AY65">
        <v>-103756.0073698574</v>
      </c>
      <c r="BI65">
        <v>41</v>
      </c>
      <c r="BJ65">
        <v>677928.63242306106</v>
      </c>
      <c r="BK65">
        <v>-85732.782423061086</v>
      </c>
      <c r="BU65">
        <v>41</v>
      </c>
      <c r="BV65">
        <v>671411.86335849017</v>
      </c>
      <c r="BW65">
        <v>-79216.013358490192</v>
      </c>
      <c r="CG65">
        <v>41</v>
      </c>
      <c r="CH65">
        <v>678113.45181200723</v>
      </c>
      <c r="CI65">
        <v>-85917.601812007255</v>
      </c>
    </row>
    <row r="66" spans="13:87">
      <c r="M66">
        <v>42</v>
      </c>
      <c r="N66">
        <v>561543.58920536423</v>
      </c>
      <c r="O66">
        <v>-28899.129205364268</v>
      </c>
      <c r="Y66">
        <v>42</v>
      </c>
      <c r="Z66">
        <v>677997.17456209834</v>
      </c>
      <c r="AA66">
        <v>-145352.71456209838</v>
      </c>
      <c r="AK66">
        <v>42</v>
      </c>
      <c r="AL66">
        <v>570391.75620315922</v>
      </c>
      <c r="AM66">
        <v>-37747.296203159261</v>
      </c>
      <c r="AW66">
        <v>42</v>
      </c>
      <c r="AX66">
        <v>652038.78493807872</v>
      </c>
      <c r="AY66">
        <v>-119394.32493807876</v>
      </c>
      <c r="BI66">
        <v>42</v>
      </c>
      <c r="BJ66">
        <v>689713.08013297629</v>
      </c>
      <c r="BK66">
        <v>-157068.62013297633</v>
      </c>
      <c r="BU66">
        <v>42</v>
      </c>
      <c r="BV66">
        <v>671411.86335849017</v>
      </c>
      <c r="BW66">
        <v>-138767.40335849021</v>
      </c>
      <c r="CG66">
        <v>42</v>
      </c>
      <c r="CH66">
        <v>678113.45181200723</v>
      </c>
      <c r="CI66">
        <v>-145468.99181200727</v>
      </c>
    </row>
    <row r="67" spans="13:87">
      <c r="M67">
        <v>43</v>
      </c>
      <c r="N67">
        <v>566288.76733802538</v>
      </c>
      <c r="O67">
        <v>91140.412661974668</v>
      </c>
      <c r="Y67">
        <v>43</v>
      </c>
      <c r="Z67">
        <v>680078.13138284406</v>
      </c>
      <c r="AA67">
        <v>-22648.95138284401</v>
      </c>
      <c r="AK67">
        <v>43</v>
      </c>
      <c r="AL67">
        <v>638327.87124406232</v>
      </c>
      <c r="AM67">
        <v>19101.308755937731</v>
      </c>
      <c r="AW67">
        <v>43</v>
      </c>
      <c r="AX67">
        <v>680427.03378286492</v>
      </c>
      <c r="AY67">
        <v>-22997.85378286487</v>
      </c>
      <c r="BI67">
        <v>43</v>
      </c>
      <c r="BJ67">
        <v>689242.74740841205</v>
      </c>
      <c r="BK67">
        <v>-31813.567408411996</v>
      </c>
      <c r="BU67">
        <v>43</v>
      </c>
      <c r="BV67">
        <v>725037.1987272721</v>
      </c>
      <c r="BW67">
        <v>-67608.01872727205</v>
      </c>
      <c r="CG67">
        <v>43</v>
      </c>
      <c r="CH67">
        <v>680227.39833901334</v>
      </c>
      <c r="CI67">
        <v>-22798.218339013285</v>
      </c>
    </row>
    <row r="68" spans="13:87">
      <c r="M68">
        <v>44</v>
      </c>
      <c r="N68">
        <v>576349.97210051003</v>
      </c>
      <c r="O68">
        <v>28828.027899489971</v>
      </c>
      <c r="Y68">
        <v>44</v>
      </c>
      <c r="Z68">
        <v>695199.75094692956</v>
      </c>
      <c r="AA68">
        <v>-90021.750946929562</v>
      </c>
      <c r="AK68">
        <v>44</v>
      </c>
      <c r="AL68">
        <v>621343.84248383646</v>
      </c>
      <c r="AM68">
        <v>-16165.842483836459</v>
      </c>
      <c r="AW68">
        <v>44</v>
      </c>
      <c r="AX68">
        <v>679539.90100646531</v>
      </c>
      <c r="AY68">
        <v>-74361.901006465312</v>
      </c>
      <c r="BI68">
        <v>44</v>
      </c>
      <c r="BJ68">
        <v>680672.23998301919</v>
      </c>
      <c r="BK68">
        <v>-75494.239983019186</v>
      </c>
      <c r="BU68">
        <v>44</v>
      </c>
      <c r="BV68">
        <v>671411.86335849017</v>
      </c>
      <c r="BW68">
        <v>-66233.863358490169</v>
      </c>
      <c r="CG68">
        <v>44</v>
      </c>
      <c r="CH68">
        <v>679170.42507551028</v>
      </c>
      <c r="CI68">
        <v>-73992.425075510284</v>
      </c>
    </row>
    <row r="69" spans="13:87">
      <c r="M69">
        <v>45</v>
      </c>
      <c r="N69">
        <v>629974.05280268856</v>
      </c>
      <c r="O69">
        <v>-34506.452802688582</v>
      </c>
      <c r="Y69">
        <v>45</v>
      </c>
      <c r="Z69">
        <v>689511.80230355787</v>
      </c>
      <c r="AA69">
        <v>-94044.20230355789</v>
      </c>
      <c r="AK69">
        <v>45</v>
      </c>
      <c r="AL69">
        <v>689279.95752473956</v>
      </c>
      <c r="AM69">
        <v>-93812.357524739578</v>
      </c>
      <c r="AW69">
        <v>45</v>
      </c>
      <c r="AX69">
        <v>680427.03378286492</v>
      </c>
      <c r="AY69">
        <v>-84959.433782864944</v>
      </c>
      <c r="BI69">
        <v>45</v>
      </c>
      <c r="BJ69">
        <v>667450.66450360208</v>
      </c>
      <c r="BK69">
        <v>-71983.064503602101</v>
      </c>
      <c r="BU69">
        <v>45</v>
      </c>
      <c r="BV69">
        <v>671411.86335849017</v>
      </c>
      <c r="BW69">
        <v>-75944.263358490192</v>
      </c>
      <c r="CG69">
        <v>45</v>
      </c>
      <c r="CH69">
        <v>684455.29139302555</v>
      </c>
      <c r="CI69">
        <v>-88987.691393025569</v>
      </c>
    </row>
    <row r="70" spans="13:87">
      <c r="M70">
        <v>46</v>
      </c>
      <c r="N70">
        <v>605534.60151792993</v>
      </c>
      <c r="O70">
        <v>-5931.2015179299051</v>
      </c>
      <c r="Y70">
        <v>46</v>
      </c>
      <c r="Z70">
        <v>665233.97272819129</v>
      </c>
      <c r="AA70">
        <v>-65630.57272819127</v>
      </c>
      <c r="AK70">
        <v>46</v>
      </c>
      <c r="AL70">
        <v>638327.87124406232</v>
      </c>
      <c r="AM70">
        <v>-38724.471244062297</v>
      </c>
      <c r="AW70">
        <v>46</v>
      </c>
      <c r="AX70">
        <v>703492.48596925358</v>
      </c>
      <c r="AY70">
        <v>-103889.08596925356</v>
      </c>
      <c r="BI70">
        <v>46</v>
      </c>
      <c r="BJ70">
        <v>678059.2804021067</v>
      </c>
      <c r="BK70">
        <v>-78455.880402106675</v>
      </c>
      <c r="BU70">
        <v>46</v>
      </c>
      <c r="BV70">
        <v>671411.86335849017</v>
      </c>
      <c r="BW70">
        <v>-71808.463358490146</v>
      </c>
      <c r="CG70">
        <v>46</v>
      </c>
      <c r="CH70">
        <v>682869.83149777097</v>
      </c>
      <c r="CI70">
        <v>-83266.431497770944</v>
      </c>
    </row>
    <row r="71" spans="13:87">
      <c r="M71">
        <v>47</v>
      </c>
      <c r="N71">
        <v>582129.81313427771</v>
      </c>
      <c r="O71">
        <v>32670.276865722262</v>
      </c>
      <c r="Y71">
        <v>47</v>
      </c>
      <c r="Z71">
        <v>682159.08820358966</v>
      </c>
      <c r="AA71">
        <v>-67358.998203589697</v>
      </c>
      <c r="AK71">
        <v>47</v>
      </c>
      <c r="AL71">
        <v>587375.78496338497</v>
      </c>
      <c r="AM71">
        <v>27424.305036614998</v>
      </c>
      <c r="AW71">
        <v>47</v>
      </c>
      <c r="AX71">
        <v>686415.18002356193</v>
      </c>
      <c r="AY71">
        <v>-71615.090023561963</v>
      </c>
      <c r="BI71">
        <v>47</v>
      </c>
      <c r="BJ71">
        <v>685427.82642027992</v>
      </c>
      <c r="BK71">
        <v>-70627.736420279951</v>
      </c>
      <c r="BU71">
        <v>47</v>
      </c>
      <c r="BV71">
        <v>725037.1987272721</v>
      </c>
      <c r="BW71">
        <v>-110237.10872727213</v>
      </c>
      <c r="CG71">
        <v>47</v>
      </c>
      <c r="CH71">
        <v>684455.29139302555</v>
      </c>
      <c r="CI71">
        <v>-69655.201393025578</v>
      </c>
    </row>
    <row r="72" spans="13:87">
      <c r="M72">
        <v>48</v>
      </c>
      <c r="N72">
        <v>591762.88152389065</v>
      </c>
      <c r="O72">
        <v>-6397.1515238906723</v>
      </c>
      <c r="Y72">
        <v>48</v>
      </c>
      <c r="Z72">
        <v>676332.40910550172</v>
      </c>
      <c r="AA72">
        <v>-90966.679105501738</v>
      </c>
      <c r="AK72">
        <v>48</v>
      </c>
      <c r="AL72">
        <v>655311.90000428807</v>
      </c>
      <c r="AM72">
        <v>-69946.170004288084</v>
      </c>
      <c r="AW72">
        <v>48</v>
      </c>
      <c r="AX72">
        <v>679983.46739466512</v>
      </c>
      <c r="AY72">
        <v>-94617.737394665135</v>
      </c>
      <c r="BI72">
        <v>48</v>
      </c>
      <c r="BJ72">
        <v>667293.88692874729</v>
      </c>
      <c r="BK72">
        <v>-81928.15692874731</v>
      </c>
      <c r="BU72">
        <v>48</v>
      </c>
      <c r="BV72">
        <v>671411.86335849017</v>
      </c>
      <c r="BW72">
        <v>-86046.133358490188</v>
      </c>
      <c r="CG72">
        <v>48</v>
      </c>
      <c r="CH72">
        <v>683926.80476127402</v>
      </c>
      <c r="CI72">
        <v>-98561.074761274038</v>
      </c>
    </row>
    <row r="73" spans="13:87">
      <c r="M73">
        <v>49</v>
      </c>
      <c r="N73">
        <v>628511.25352871034</v>
      </c>
      <c r="O73">
        <v>-5699.5135287103476</v>
      </c>
      <c r="Y73">
        <v>49</v>
      </c>
      <c r="Z73">
        <v>682714.01002245524</v>
      </c>
      <c r="AA73">
        <v>-59902.270022455254</v>
      </c>
      <c r="AK73">
        <v>49</v>
      </c>
      <c r="AL73">
        <v>587375.78496338497</v>
      </c>
      <c r="AM73">
        <v>35435.955036615022</v>
      </c>
      <c r="AW73">
        <v>49</v>
      </c>
      <c r="AX73">
        <v>700609.30444595497</v>
      </c>
      <c r="AY73">
        <v>-77797.56444595498</v>
      </c>
      <c r="BI73">
        <v>49</v>
      </c>
      <c r="BJ73">
        <v>683363.58835135901</v>
      </c>
      <c r="BK73">
        <v>-60551.848351359018</v>
      </c>
      <c r="BU73">
        <v>49</v>
      </c>
      <c r="BV73">
        <v>725037.1987272721</v>
      </c>
      <c r="BW73">
        <v>-102225.45872727211</v>
      </c>
      <c r="CG73">
        <v>49</v>
      </c>
      <c r="CH73">
        <v>676527.99191675265</v>
      </c>
      <c r="CI73">
        <v>-53716.251916752663</v>
      </c>
    </row>
    <row r="74" spans="13:87">
      <c r="M74">
        <v>50</v>
      </c>
      <c r="N74">
        <v>644744.75766676175</v>
      </c>
      <c r="O74">
        <v>-41447.187666761805</v>
      </c>
      <c r="Y74">
        <v>50</v>
      </c>
      <c r="Z74">
        <v>667592.39045836974</v>
      </c>
      <c r="AA74">
        <v>-64294.820458369795</v>
      </c>
      <c r="AK74">
        <v>50</v>
      </c>
      <c r="AL74">
        <v>638327.87124406232</v>
      </c>
      <c r="AM74">
        <v>-35030.301244062372</v>
      </c>
      <c r="AW74">
        <v>50</v>
      </c>
      <c r="AX74">
        <v>642280.32439768338</v>
      </c>
      <c r="AY74">
        <v>-38982.754397683428</v>
      </c>
      <c r="BI74">
        <v>50</v>
      </c>
      <c r="BJ74">
        <v>668678.75550663087</v>
      </c>
      <c r="BK74">
        <v>-65381.185506630922</v>
      </c>
      <c r="BU74">
        <v>50</v>
      </c>
      <c r="BV74">
        <v>671411.86335849017</v>
      </c>
      <c r="BW74">
        <v>-68114.29335849022</v>
      </c>
      <c r="CG74">
        <v>50</v>
      </c>
      <c r="CH74">
        <v>677056.47854850418</v>
      </c>
      <c r="CI74">
        <v>-73758.908548504231</v>
      </c>
    </row>
    <row r="75" spans="13:87">
      <c r="M75">
        <v>51</v>
      </c>
      <c r="N75">
        <v>630152.4429580518</v>
      </c>
      <c r="O75">
        <v>-4479.5829580518184</v>
      </c>
      <c r="Y75">
        <v>51</v>
      </c>
      <c r="Z75">
        <v>696725.7859488097</v>
      </c>
      <c r="AA75">
        <v>-71052.925948809716</v>
      </c>
      <c r="AK75">
        <v>51</v>
      </c>
      <c r="AL75">
        <v>604359.81372361071</v>
      </c>
      <c r="AM75">
        <v>21313.046276389272</v>
      </c>
      <c r="AW75">
        <v>51</v>
      </c>
      <c r="AX75">
        <v>663127.94464307325</v>
      </c>
      <c r="AY75">
        <v>-37455.084643073264</v>
      </c>
      <c r="BI75">
        <v>51</v>
      </c>
      <c r="BJ75">
        <v>673146.9163899913</v>
      </c>
      <c r="BK75">
        <v>-47474.05638999131</v>
      </c>
      <c r="BU75">
        <v>51</v>
      </c>
      <c r="BV75">
        <v>671411.86335849017</v>
      </c>
      <c r="BW75">
        <v>-45739.003358490183</v>
      </c>
      <c r="CG75">
        <v>51</v>
      </c>
      <c r="CH75">
        <v>677584.96518025571</v>
      </c>
      <c r="CI75">
        <v>-51912.105180255719</v>
      </c>
    </row>
    <row r="76" spans="13:87">
      <c r="M76">
        <v>52</v>
      </c>
      <c r="N76">
        <v>702899.9483151657</v>
      </c>
      <c r="O76">
        <v>70915.19168483431</v>
      </c>
      <c r="Y76">
        <v>52</v>
      </c>
      <c r="Z76">
        <v>690899.10685072176</v>
      </c>
      <c r="AA76">
        <v>82916.033149278257</v>
      </c>
      <c r="AK76">
        <v>52</v>
      </c>
      <c r="AL76">
        <v>723248.01504519116</v>
      </c>
      <c r="AM76">
        <v>50567.124954808853</v>
      </c>
      <c r="AW76">
        <v>52</v>
      </c>
      <c r="AX76">
        <v>692625.10945835896</v>
      </c>
      <c r="AY76">
        <v>81190.030541641056</v>
      </c>
      <c r="BI76">
        <v>52</v>
      </c>
      <c r="BJ76">
        <v>673774.02668941021</v>
      </c>
      <c r="BK76">
        <v>100041.1133105898</v>
      </c>
      <c r="BU76">
        <v>52</v>
      </c>
      <c r="BV76">
        <v>671411.86335849017</v>
      </c>
      <c r="BW76">
        <v>102403.27664150984</v>
      </c>
      <c r="CG76">
        <v>52</v>
      </c>
      <c r="CH76">
        <v>677056.47854850418</v>
      </c>
      <c r="CI76">
        <v>96758.661451495835</v>
      </c>
    </row>
    <row r="77" spans="13:87">
      <c r="M77">
        <v>53</v>
      </c>
      <c r="N77">
        <v>563398.84682114155</v>
      </c>
      <c r="O77">
        <v>-99864.596821141546</v>
      </c>
      <c r="Y77">
        <v>53</v>
      </c>
      <c r="Z77">
        <v>685766.08002621564</v>
      </c>
      <c r="AA77">
        <v>-222231.83002621564</v>
      </c>
      <c r="AK77">
        <v>53</v>
      </c>
      <c r="AL77">
        <v>553407.72744293348</v>
      </c>
      <c r="AM77">
        <v>-89873.477442933479</v>
      </c>
      <c r="AW77">
        <v>53</v>
      </c>
      <c r="AX77">
        <v>671777.48921296909</v>
      </c>
      <c r="AY77">
        <v>-208243.23921296909</v>
      </c>
      <c r="BI77">
        <v>53</v>
      </c>
      <c r="BJ77">
        <v>634945.44731705089</v>
      </c>
      <c r="BK77">
        <v>-171411.19731705089</v>
      </c>
      <c r="BU77">
        <v>53</v>
      </c>
      <c r="BV77">
        <v>671411.86335849017</v>
      </c>
      <c r="BW77">
        <v>-207877.61335849017</v>
      </c>
      <c r="CG77">
        <v>53</v>
      </c>
      <c r="CH77">
        <v>680755.88497076486</v>
      </c>
      <c r="CI77">
        <v>-217221.63497076486</v>
      </c>
    </row>
    <row r="78" spans="13:87">
      <c r="M78">
        <v>54</v>
      </c>
      <c r="N78">
        <v>656447.15185858775</v>
      </c>
      <c r="O78">
        <v>90230.598141412251</v>
      </c>
      <c r="Y78">
        <v>54</v>
      </c>
      <c r="Z78">
        <v>661488.25045084895</v>
      </c>
      <c r="AA78">
        <v>85189.499549151049</v>
      </c>
      <c r="AK78">
        <v>54</v>
      </c>
      <c r="AL78">
        <v>638327.87124406232</v>
      </c>
      <c r="AM78">
        <v>108349.87875593768</v>
      </c>
      <c r="AW78">
        <v>54</v>
      </c>
      <c r="AX78">
        <v>681535.94975336432</v>
      </c>
      <c r="AY78">
        <v>65141.800246635685</v>
      </c>
      <c r="BI78">
        <v>54</v>
      </c>
      <c r="BJ78">
        <v>676334.72707870451</v>
      </c>
      <c r="BK78">
        <v>70343.022921295487</v>
      </c>
      <c r="BU78">
        <v>54</v>
      </c>
      <c r="BV78">
        <v>671411.86335849017</v>
      </c>
      <c r="BW78">
        <v>75265.886641509831</v>
      </c>
      <c r="CG78">
        <v>54</v>
      </c>
      <c r="CH78">
        <v>676527.99191675265</v>
      </c>
      <c r="CI78">
        <v>70149.758083247347</v>
      </c>
    </row>
    <row r="79" spans="13:87">
      <c r="M79">
        <v>55</v>
      </c>
      <c r="N79">
        <v>643210.60233063821</v>
      </c>
      <c r="O79">
        <v>77641.897669361788</v>
      </c>
      <c r="Y79">
        <v>55</v>
      </c>
      <c r="Z79">
        <v>683130.20138660434</v>
      </c>
      <c r="AA79">
        <v>37722.298613395658</v>
      </c>
      <c r="AK79">
        <v>55</v>
      </c>
      <c r="AL79">
        <v>638327.87124406232</v>
      </c>
      <c r="AM79">
        <v>82524.62875593768</v>
      </c>
      <c r="AW79">
        <v>55</v>
      </c>
      <c r="AX79">
        <v>679983.46739466512</v>
      </c>
      <c r="AY79">
        <v>40869.032605334884</v>
      </c>
      <c r="BI79">
        <v>55</v>
      </c>
      <c r="BJ79">
        <v>687884.00842633762</v>
      </c>
      <c r="BK79">
        <v>32968.491573662381</v>
      </c>
      <c r="BU79">
        <v>55</v>
      </c>
      <c r="BV79">
        <v>671411.86335849017</v>
      </c>
      <c r="BW79">
        <v>49440.636641509831</v>
      </c>
      <c r="CG79">
        <v>55</v>
      </c>
      <c r="CH79">
        <v>678641.93844375876</v>
      </c>
      <c r="CI79">
        <v>42210.561556241242</v>
      </c>
    </row>
    <row r="80" spans="13:87">
      <c r="M80">
        <v>56</v>
      </c>
      <c r="N80">
        <v>548556.78589492303</v>
      </c>
      <c r="O80">
        <v>-61091.875894923054</v>
      </c>
      <c r="Y80">
        <v>56</v>
      </c>
      <c r="Z80">
        <v>686737.19320923032</v>
      </c>
      <c r="AA80">
        <v>-199272.28320923034</v>
      </c>
      <c r="AK80">
        <v>56</v>
      </c>
      <c r="AL80">
        <v>621343.84248383646</v>
      </c>
      <c r="AM80">
        <v>-133878.93248383648</v>
      </c>
      <c r="AW80">
        <v>56</v>
      </c>
      <c r="AX80">
        <v>682866.64891796373</v>
      </c>
      <c r="AY80">
        <v>-195401.73891796375</v>
      </c>
      <c r="BI80">
        <v>56</v>
      </c>
      <c r="BJ80">
        <v>691254.72628571466</v>
      </c>
      <c r="BK80">
        <v>-203789.81628571468</v>
      </c>
      <c r="BU80">
        <v>56</v>
      </c>
      <c r="BV80">
        <v>671411.86335849017</v>
      </c>
      <c r="BW80">
        <v>-183946.95335849019</v>
      </c>
      <c r="CG80">
        <v>56</v>
      </c>
      <c r="CH80">
        <v>679698.91170726181</v>
      </c>
      <c r="CI80">
        <v>-192234.00170726184</v>
      </c>
    </row>
    <row r="81" spans="13:87">
      <c r="M81">
        <v>57</v>
      </c>
      <c r="N81">
        <v>531252.94082469249</v>
      </c>
      <c r="O81">
        <v>-13203.680824692477</v>
      </c>
      <c r="Y81">
        <v>57</v>
      </c>
      <c r="Z81">
        <v>697835.62958654074</v>
      </c>
      <c r="AA81">
        <v>-179786.36958654074</v>
      </c>
      <c r="AK81">
        <v>57</v>
      </c>
      <c r="AL81">
        <v>604359.81372361071</v>
      </c>
      <c r="AM81">
        <v>-86310.553723610705</v>
      </c>
      <c r="AW81">
        <v>57</v>
      </c>
      <c r="AX81">
        <v>695064.72459345777</v>
      </c>
      <c r="AY81">
        <v>-177015.46459345776</v>
      </c>
      <c r="BI81">
        <v>57</v>
      </c>
      <c r="BJ81">
        <v>691960.22537256102</v>
      </c>
      <c r="BK81">
        <v>-173910.96537256101</v>
      </c>
      <c r="BU81">
        <v>57</v>
      </c>
      <c r="BV81">
        <v>671411.86335849017</v>
      </c>
      <c r="BW81">
        <v>-153362.60335849016</v>
      </c>
      <c r="CG81">
        <v>57</v>
      </c>
      <c r="CH81">
        <v>682869.83149777097</v>
      </c>
      <c r="CI81">
        <v>-164820.57149777096</v>
      </c>
    </row>
    <row r="82" spans="13:87">
      <c r="M82">
        <v>58</v>
      </c>
      <c r="N82">
        <v>536140.83108164417</v>
      </c>
      <c r="O82">
        <v>-35842.351081644185</v>
      </c>
      <c r="Y82">
        <v>58</v>
      </c>
      <c r="Z82">
        <v>692425.1418526019</v>
      </c>
      <c r="AA82">
        <v>-192126.66185260192</v>
      </c>
      <c r="AK82">
        <v>58</v>
      </c>
      <c r="AL82">
        <v>604359.81372361071</v>
      </c>
      <c r="AM82">
        <v>-104061.33372361073</v>
      </c>
      <c r="AW82">
        <v>58</v>
      </c>
      <c r="AX82">
        <v>653369.48410267802</v>
      </c>
      <c r="AY82">
        <v>-153071.00410267804</v>
      </c>
      <c r="BI82">
        <v>58</v>
      </c>
      <c r="BJ82">
        <v>679130.59383028082</v>
      </c>
      <c r="BK82">
        <v>-178832.11383028084</v>
      </c>
      <c r="BU82">
        <v>58</v>
      </c>
      <c r="BV82">
        <v>671411.86335849017</v>
      </c>
      <c r="BW82">
        <v>-171113.38335849019</v>
      </c>
      <c r="CG82">
        <v>58</v>
      </c>
      <c r="CH82">
        <v>681812.85823426791</v>
      </c>
      <c r="CI82">
        <v>-181514.37823426793</v>
      </c>
    </row>
    <row r="83" spans="13:87">
      <c r="M83">
        <v>59</v>
      </c>
      <c r="N83">
        <v>589907.62390811334</v>
      </c>
      <c r="O83">
        <v>27383.526091886684</v>
      </c>
      <c r="Y83">
        <v>59</v>
      </c>
      <c r="Z83">
        <v>678829.55729039654</v>
      </c>
      <c r="AA83">
        <v>-61538.407290396513</v>
      </c>
      <c r="AK83">
        <v>59</v>
      </c>
      <c r="AL83">
        <v>587375.78496338497</v>
      </c>
      <c r="AM83">
        <v>29915.365036615054</v>
      </c>
      <c r="AW83">
        <v>59</v>
      </c>
      <c r="AX83">
        <v>677987.418647766</v>
      </c>
      <c r="AY83">
        <v>-60696.268647765974</v>
      </c>
      <c r="BI83">
        <v>59</v>
      </c>
      <c r="BJ83">
        <v>691960.22537256102</v>
      </c>
      <c r="BK83">
        <v>-74669.075372560997</v>
      </c>
      <c r="BU83">
        <v>59</v>
      </c>
      <c r="BV83">
        <v>671411.86335849017</v>
      </c>
      <c r="BW83">
        <v>-54120.713358490146</v>
      </c>
      <c r="CG83">
        <v>59</v>
      </c>
      <c r="CH83">
        <v>684983.77802477707</v>
      </c>
      <c r="CI83">
        <v>-67692.628024777048</v>
      </c>
    </row>
    <row r="84" spans="13:87">
      <c r="M84">
        <v>60</v>
      </c>
      <c r="N84">
        <v>602573.32493890077</v>
      </c>
      <c r="O84">
        <v>-48816.894938900718</v>
      </c>
      <c r="Y84">
        <v>60</v>
      </c>
      <c r="Z84">
        <v>685072.4277526337</v>
      </c>
      <c r="AA84">
        <v>-131315.99775263364</v>
      </c>
      <c r="AK84">
        <v>60</v>
      </c>
      <c r="AL84">
        <v>638327.87124406232</v>
      </c>
      <c r="AM84">
        <v>-84571.441244062269</v>
      </c>
      <c r="AW84">
        <v>60</v>
      </c>
      <c r="AX84">
        <v>681314.16655926441</v>
      </c>
      <c r="AY84">
        <v>-127557.73655926436</v>
      </c>
      <c r="BI84">
        <v>60</v>
      </c>
      <c r="BJ84">
        <v>656972.69658414298</v>
      </c>
      <c r="BK84">
        <v>-103216.26658414293</v>
      </c>
      <c r="BU84">
        <v>60</v>
      </c>
      <c r="BV84">
        <v>671411.86335849017</v>
      </c>
      <c r="BW84">
        <v>-117655.43335849012</v>
      </c>
      <c r="CG84">
        <v>60</v>
      </c>
      <c r="CH84">
        <v>684983.77802477707</v>
      </c>
      <c r="CI84">
        <v>-131227.34802477702</v>
      </c>
    </row>
    <row r="85" spans="13:87">
      <c r="M85">
        <v>61</v>
      </c>
      <c r="N85">
        <v>635718.21580538375</v>
      </c>
      <c r="O85">
        <v>113841.49419461621</v>
      </c>
      <c r="Y85">
        <v>61</v>
      </c>
      <c r="Z85">
        <v>689234.34139412513</v>
      </c>
      <c r="AA85">
        <v>60325.368605874828</v>
      </c>
      <c r="AK85">
        <v>61</v>
      </c>
      <c r="AL85">
        <v>672295.92876451381</v>
      </c>
      <c r="AM85">
        <v>77263.781235486153</v>
      </c>
      <c r="AW85">
        <v>61</v>
      </c>
      <c r="AX85">
        <v>696838.99014625687</v>
      </c>
      <c r="AY85">
        <v>52720.719853743096</v>
      </c>
      <c r="BI85">
        <v>61</v>
      </c>
      <c r="BJ85">
        <v>689817.59851621289</v>
      </c>
      <c r="BK85">
        <v>59742.11148378707</v>
      </c>
      <c r="BU85">
        <v>61</v>
      </c>
      <c r="BV85">
        <v>671411.86335849017</v>
      </c>
      <c r="BW85">
        <v>78147.846641509794</v>
      </c>
      <c r="CG85">
        <v>61</v>
      </c>
      <c r="CH85">
        <v>681812.85823426791</v>
      </c>
      <c r="CI85">
        <v>67746.851765732048</v>
      </c>
    </row>
    <row r="86" spans="13:87">
      <c r="M86">
        <v>62</v>
      </c>
      <c r="N86">
        <v>586553.8889872852</v>
      </c>
      <c r="O86">
        <v>29412.59101271478</v>
      </c>
      <c r="Y86">
        <v>62</v>
      </c>
      <c r="Z86">
        <v>687569.57593752863</v>
      </c>
      <c r="AA86">
        <v>-71603.095937528647</v>
      </c>
      <c r="AK86">
        <v>62</v>
      </c>
      <c r="AL86">
        <v>604359.81372361071</v>
      </c>
      <c r="AM86">
        <v>11606.666276389267</v>
      </c>
      <c r="AW86">
        <v>62</v>
      </c>
      <c r="AX86">
        <v>676656.7194831667</v>
      </c>
      <c r="AY86">
        <v>-60690.239483166719</v>
      </c>
      <c r="BI86">
        <v>62</v>
      </c>
      <c r="BJ86">
        <v>688197.56357604708</v>
      </c>
      <c r="BK86">
        <v>-72231.083576047095</v>
      </c>
      <c r="BU86">
        <v>62</v>
      </c>
      <c r="BV86">
        <v>671411.86335849017</v>
      </c>
      <c r="BW86">
        <v>-55445.383358490188</v>
      </c>
      <c r="CG86">
        <v>62</v>
      </c>
      <c r="CH86">
        <v>681284.37160251639</v>
      </c>
      <c r="CI86">
        <v>-65317.891602516407</v>
      </c>
    </row>
    <row r="87" spans="13:87">
      <c r="M87">
        <v>63</v>
      </c>
      <c r="N87">
        <v>583592.61240825604</v>
      </c>
      <c r="O87">
        <v>-11581.412408256088</v>
      </c>
      <c r="Y87">
        <v>63</v>
      </c>
      <c r="Z87">
        <v>682159.08820358966</v>
      </c>
      <c r="AA87">
        <v>-110147.88820358971</v>
      </c>
      <c r="AK87">
        <v>63</v>
      </c>
      <c r="AL87">
        <v>553407.72744293348</v>
      </c>
      <c r="AM87">
        <v>18603.472557066474</v>
      </c>
      <c r="AW87">
        <v>63</v>
      </c>
      <c r="AX87">
        <v>681535.94975336432</v>
      </c>
      <c r="AY87">
        <v>-109524.74975336436</v>
      </c>
      <c r="BI87">
        <v>63</v>
      </c>
      <c r="BJ87">
        <v>679026.07544704434</v>
      </c>
      <c r="BK87">
        <v>-107014.87544704438</v>
      </c>
      <c r="BU87">
        <v>63</v>
      </c>
      <c r="BV87">
        <v>671411.86335849017</v>
      </c>
      <c r="BW87">
        <v>-99400.663358490216</v>
      </c>
      <c r="CG87">
        <v>63</v>
      </c>
      <c r="CH87">
        <v>683926.80476127402</v>
      </c>
      <c r="CI87">
        <v>-111915.60476127407</v>
      </c>
    </row>
    <row r="88" spans="13:87">
      <c r="M88">
        <v>64</v>
      </c>
      <c r="N88">
        <v>682599.14863483328</v>
      </c>
      <c r="O88">
        <v>79261.04136516666</v>
      </c>
      <c r="Y88">
        <v>64</v>
      </c>
      <c r="Z88">
        <v>690344.18503185618</v>
      </c>
      <c r="AA88">
        <v>71516.004968143767</v>
      </c>
      <c r="AK88">
        <v>64</v>
      </c>
      <c r="AL88">
        <v>689279.95752473956</v>
      </c>
      <c r="AM88">
        <v>72580.232475260389</v>
      </c>
      <c r="AW88">
        <v>64</v>
      </c>
      <c r="AX88">
        <v>686858.74641176173</v>
      </c>
      <c r="AY88">
        <v>75001.443588238209</v>
      </c>
      <c r="BI88">
        <v>64</v>
      </c>
      <c r="BJ88">
        <v>689582.43215393077</v>
      </c>
      <c r="BK88">
        <v>72277.757846069173</v>
      </c>
      <c r="BU88">
        <v>64</v>
      </c>
      <c r="BV88">
        <v>671411.86335849017</v>
      </c>
      <c r="BW88">
        <v>90448.326641509775</v>
      </c>
      <c r="CG88">
        <v>64</v>
      </c>
      <c r="CH88">
        <v>682869.83149777097</v>
      </c>
      <c r="CI88">
        <v>78990.358502228977</v>
      </c>
    </row>
    <row r="89" spans="13:87">
      <c r="M89">
        <v>65</v>
      </c>
      <c r="N89">
        <v>773756.51802542969</v>
      </c>
      <c r="O89">
        <v>10746.161974570365</v>
      </c>
      <c r="Y89">
        <v>65</v>
      </c>
      <c r="Z89">
        <v>682991.47093188798</v>
      </c>
      <c r="AA89">
        <v>101511.20906811208</v>
      </c>
      <c r="AK89">
        <v>65</v>
      </c>
      <c r="AL89">
        <v>791184.13008609414</v>
      </c>
      <c r="AM89">
        <v>-6681.4500860940898</v>
      </c>
      <c r="AW89">
        <v>65</v>
      </c>
      <c r="AX89">
        <v>695730.07417575736</v>
      </c>
      <c r="AY89">
        <v>88772.605824242695</v>
      </c>
      <c r="BI89">
        <v>65</v>
      </c>
      <c r="BJ89">
        <v>676596.02303679567</v>
      </c>
      <c r="BK89">
        <v>107906.65696320438</v>
      </c>
      <c r="BU89">
        <v>65</v>
      </c>
      <c r="BV89">
        <v>725037.1987272721</v>
      </c>
      <c r="BW89">
        <v>59465.48127272795</v>
      </c>
      <c r="CG89">
        <v>65</v>
      </c>
      <c r="CH89">
        <v>683398.31812952249</v>
      </c>
      <c r="CI89">
        <v>101104.36187047756</v>
      </c>
    </row>
    <row r="90" spans="13:87">
      <c r="M90">
        <v>66</v>
      </c>
      <c r="N90">
        <v>729694.14965071867</v>
      </c>
      <c r="O90">
        <v>-12552.599650718621</v>
      </c>
      <c r="Y90">
        <v>66</v>
      </c>
      <c r="Z90">
        <v>676193.67865078535</v>
      </c>
      <c r="AA90">
        <v>40947.871349214693</v>
      </c>
      <c r="AK90">
        <v>66</v>
      </c>
      <c r="AL90">
        <v>706263.98628496542</v>
      </c>
      <c r="AM90">
        <v>10877.56371503463</v>
      </c>
      <c r="AW90">
        <v>66</v>
      </c>
      <c r="AX90">
        <v>691737.97668195935</v>
      </c>
      <c r="AY90">
        <v>25403.573318040697</v>
      </c>
      <c r="BI90">
        <v>66</v>
      </c>
      <c r="BJ90">
        <v>663975.42826098844</v>
      </c>
      <c r="BK90">
        <v>53166.121739011607</v>
      </c>
      <c r="BU90">
        <v>66</v>
      </c>
      <c r="BV90">
        <v>671411.86335849017</v>
      </c>
      <c r="BW90">
        <v>45729.686641509878</v>
      </c>
      <c r="CG90">
        <v>66</v>
      </c>
      <c r="CH90">
        <v>682341.34486601944</v>
      </c>
      <c r="CI90">
        <v>34800.205133980606</v>
      </c>
    </row>
    <row r="91" spans="13:87">
      <c r="M91">
        <v>67</v>
      </c>
      <c r="N91">
        <v>789918.66610133578</v>
      </c>
      <c r="O91">
        <v>-104539.58610133582</v>
      </c>
      <c r="Y91">
        <v>67</v>
      </c>
      <c r="Z91">
        <v>683685.12320546992</v>
      </c>
      <c r="AA91">
        <v>1693.9567945300369</v>
      </c>
      <c r="AK91">
        <v>67</v>
      </c>
      <c r="AL91">
        <v>740232.04380541691</v>
      </c>
      <c r="AM91">
        <v>-54852.963805416948</v>
      </c>
      <c r="AW91">
        <v>67</v>
      </c>
      <c r="AX91">
        <v>704379.61874565319</v>
      </c>
      <c r="AY91">
        <v>-19000.538745653233</v>
      </c>
      <c r="BI91">
        <v>67</v>
      </c>
      <c r="BJ91">
        <v>642810.45565559738</v>
      </c>
      <c r="BK91">
        <v>42568.624344402575</v>
      </c>
      <c r="BU91">
        <v>67</v>
      </c>
      <c r="BV91">
        <v>725037.1987272721</v>
      </c>
      <c r="BW91">
        <v>-39658.118727272144</v>
      </c>
      <c r="CG91">
        <v>67</v>
      </c>
      <c r="CH91">
        <v>684455.29139302555</v>
      </c>
      <c r="CI91">
        <v>923.78860697441269</v>
      </c>
    </row>
    <row r="92" spans="13:87">
      <c r="M92">
        <v>68</v>
      </c>
      <c r="N92">
        <v>742395.5287125787</v>
      </c>
      <c r="O92">
        <v>-1898.8787125786766</v>
      </c>
      <c r="Y92">
        <v>68</v>
      </c>
      <c r="Z92">
        <v>681881.62729415693</v>
      </c>
      <c r="AA92">
        <v>58615.02270584309</v>
      </c>
      <c r="AK92">
        <v>68</v>
      </c>
      <c r="AL92">
        <v>689279.95752473956</v>
      </c>
      <c r="AM92">
        <v>51216.692475260468</v>
      </c>
      <c r="AW92">
        <v>68</v>
      </c>
      <c r="AX92">
        <v>688411.22877046093</v>
      </c>
      <c r="AY92">
        <v>52085.42122953909</v>
      </c>
      <c r="BI92">
        <v>68</v>
      </c>
      <c r="BJ92">
        <v>690470.83841144096</v>
      </c>
      <c r="BK92">
        <v>50025.811588559067</v>
      </c>
      <c r="BU92">
        <v>68</v>
      </c>
      <c r="BV92">
        <v>671411.86335849017</v>
      </c>
      <c r="BW92">
        <v>69084.786641509854</v>
      </c>
      <c r="CG92">
        <v>68</v>
      </c>
      <c r="CH92">
        <v>683398.31812952249</v>
      </c>
      <c r="CI92">
        <v>57098.33187047753</v>
      </c>
    </row>
    <row r="93" spans="13:87">
      <c r="M93">
        <v>69</v>
      </c>
      <c r="N93">
        <v>574673.10464009584</v>
      </c>
      <c r="O93">
        <v>87254.03535990417</v>
      </c>
      <c r="Y93">
        <v>69</v>
      </c>
      <c r="Z93">
        <v>678274.63547153107</v>
      </c>
      <c r="AA93">
        <v>-16347.49547153106</v>
      </c>
      <c r="AK93">
        <v>69</v>
      </c>
      <c r="AL93">
        <v>587375.78496338497</v>
      </c>
      <c r="AM93">
        <v>74551.355036615045</v>
      </c>
      <c r="AW93">
        <v>69</v>
      </c>
      <c r="AX93">
        <v>681979.51614156412</v>
      </c>
      <c r="AY93">
        <v>-20052.376141564106</v>
      </c>
      <c r="BI93">
        <v>69</v>
      </c>
      <c r="BJ93">
        <v>685088.14167476131</v>
      </c>
      <c r="BK93">
        <v>-23161.001674761297</v>
      </c>
      <c r="BU93">
        <v>69</v>
      </c>
      <c r="BV93">
        <v>725037.1987272721</v>
      </c>
      <c r="BW93">
        <v>-63110.058727272088</v>
      </c>
      <c r="CG93">
        <v>69</v>
      </c>
      <c r="CH93">
        <v>683926.80476127402</v>
      </c>
      <c r="CI93">
        <v>-21999.664761274005</v>
      </c>
    </row>
    <row r="94" spans="13:87">
      <c r="M94">
        <v>70</v>
      </c>
      <c r="N94">
        <v>547522.12299381651</v>
      </c>
      <c r="O94">
        <v>-68471.622993816505</v>
      </c>
      <c r="Y94">
        <v>70</v>
      </c>
      <c r="Z94">
        <v>671338.11273571197</v>
      </c>
      <c r="AA94">
        <v>-192287.61273571197</v>
      </c>
      <c r="AK94">
        <v>70</v>
      </c>
      <c r="AL94">
        <v>587375.78496338497</v>
      </c>
      <c r="AM94">
        <v>-108325.28496338497</v>
      </c>
      <c r="AW94">
        <v>70</v>
      </c>
      <c r="AX94">
        <v>666232.90936047176</v>
      </c>
      <c r="AY94">
        <v>-187182.40936047176</v>
      </c>
      <c r="BI94">
        <v>70</v>
      </c>
      <c r="BJ94">
        <v>686394.62146521755</v>
      </c>
      <c r="BK94">
        <v>-207344.12146521755</v>
      </c>
      <c r="BU94">
        <v>70</v>
      </c>
      <c r="BV94">
        <v>671411.86335849017</v>
      </c>
      <c r="BW94">
        <v>-192361.36335849017</v>
      </c>
      <c r="CG94">
        <v>70</v>
      </c>
      <c r="CH94">
        <v>683926.80476127402</v>
      </c>
      <c r="CI94">
        <v>-204876.30476127402</v>
      </c>
    </row>
    <row r="95" spans="13:87">
      <c r="M95">
        <v>71</v>
      </c>
      <c r="N95">
        <v>560330.53614889446</v>
      </c>
      <c r="O95">
        <v>44693.333851105534</v>
      </c>
      <c r="Y95">
        <v>71</v>
      </c>
      <c r="Z95">
        <v>670505.73000741377</v>
      </c>
      <c r="AA95">
        <v>-65481.860007413779</v>
      </c>
      <c r="AK95">
        <v>71</v>
      </c>
      <c r="AL95">
        <v>519439.66992248193</v>
      </c>
      <c r="AM95">
        <v>85584.200077518064</v>
      </c>
      <c r="AW95">
        <v>71</v>
      </c>
      <c r="AX95">
        <v>704379.61874565319</v>
      </c>
      <c r="AY95">
        <v>-99355.748745653196</v>
      </c>
      <c r="BI95">
        <v>71</v>
      </c>
      <c r="BJ95">
        <v>688746.28508803877</v>
      </c>
      <c r="BK95">
        <v>-83722.415088038775</v>
      </c>
      <c r="BU95">
        <v>71</v>
      </c>
      <c r="BV95">
        <v>671411.86335849017</v>
      </c>
      <c r="BW95">
        <v>-66387.993358490174</v>
      </c>
      <c r="CG95">
        <v>71</v>
      </c>
      <c r="CH95">
        <v>684455.29139302555</v>
      </c>
      <c r="CI95">
        <v>-79431.42139302555</v>
      </c>
    </row>
    <row r="96" spans="13:87">
      <c r="M96">
        <v>72</v>
      </c>
      <c r="N96">
        <v>642104.58336738637</v>
      </c>
      <c r="O96">
        <v>32669.5066326136</v>
      </c>
      <c r="Y96">
        <v>72</v>
      </c>
      <c r="Z96">
        <v>692841.33321675099</v>
      </c>
      <c r="AA96">
        <v>-18067.243216751027</v>
      </c>
      <c r="AK96">
        <v>72</v>
      </c>
      <c r="AL96">
        <v>604359.81372361071</v>
      </c>
      <c r="AM96">
        <v>70414.276276389253</v>
      </c>
      <c r="AW96">
        <v>72</v>
      </c>
      <c r="AX96">
        <v>679983.46739466512</v>
      </c>
      <c r="AY96">
        <v>-5209.377394665149</v>
      </c>
      <c r="BI96">
        <v>72</v>
      </c>
      <c r="BJ96">
        <v>683690.20829897304</v>
      </c>
      <c r="BK96">
        <v>-8916.1182989730733</v>
      </c>
      <c r="BU96">
        <v>72</v>
      </c>
      <c r="BV96">
        <v>671411.86335849017</v>
      </c>
      <c r="BW96">
        <v>3362.2266415097984</v>
      </c>
      <c r="CG96">
        <v>72</v>
      </c>
      <c r="CH96">
        <v>682869.83149777097</v>
      </c>
      <c r="CI96">
        <v>-8095.7414977709996</v>
      </c>
    </row>
    <row r="97" spans="13:87">
      <c r="M97">
        <v>73</v>
      </c>
      <c r="N97">
        <v>657553.17082183971</v>
      </c>
      <c r="O97">
        <v>-41483.760821839678</v>
      </c>
      <c r="Y97">
        <v>73</v>
      </c>
      <c r="Z97">
        <v>659407.29363010323</v>
      </c>
      <c r="AA97">
        <v>-43337.883630103199</v>
      </c>
      <c r="AK97">
        <v>73</v>
      </c>
      <c r="AL97">
        <v>621343.84248383646</v>
      </c>
      <c r="AM97">
        <v>-5274.4324838364264</v>
      </c>
      <c r="AW97">
        <v>73</v>
      </c>
      <c r="AX97">
        <v>659579.41353747505</v>
      </c>
      <c r="AY97">
        <v>-43510.003537475015</v>
      </c>
      <c r="BI97">
        <v>73</v>
      </c>
      <c r="BJ97">
        <v>679653.18574646336</v>
      </c>
      <c r="BK97">
        <v>-63583.775746463332</v>
      </c>
      <c r="BU97">
        <v>73</v>
      </c>
      <c r="BV97">
        <v>671411.86335849017</v>
      </c>
      <c r="BW97">
        <v>-55342.453358490136</v>
      </c>
      <c r="CG97">
        <v>73</v>
      </c>
      <c r="CH97">
        <v>677584.96518025571</v>
      </c>
      <c r="CI97">
        <v>-61515.555180255673</v>
      </c>
    </row>
    <row r="98" spans="13:87">
      <c r="M98">
        <v>74</v>
      </c>
      <c r="N98">
        <v>689770.43288043397</v>
      </c>
      <c r="O98">
        <v>-58940.492880434031</v>
      </c>
      <c r="Y98">
        <v>74</v>
      </c>
      <c r="Z98">
        <v>688679.41957525967</v>
      </c>
      <c r="AA98">
        <v>-57849.479575259727</v>
      </c>
      <c r="AK98">
        <v>74</v>
      </c>
      <c r="AL98">
        <v>723248.01504519116</v>
      </c>
      <c r="AM98">
        <v>-92418.075045191217</v>
      </c>
      <c r="AW98">
        <v>74</v>
      </c>
      <c r="AX98">
        <v>694621.15820525796</v>
      </c>
      <c r="AY98">
        <v>-63791.218205258017</v>
      </c>
      <c r="BI98">
        <v>74</v>
      </c>
      <c r="BJ98">
        <v>674113.71143492882</v>
      </c>
      <c r="BK98">
        <v>-43283.771434928873</v>
      </c>
      <c r="BU98">
        <v>74</v>
      </c>
      <c r="BV98">
        <v>671411.86335849017</v>
      </c>
      <c r="BW98">
        <v>-40581.923358490225</v>
      </c>
      <c r="CG98">
        <v>74</v>
      </c>
      <c r="CH98">
        <v>678113.45181200723</v>
      </c>
      <c r="CI98">
        <v>-47283.511812007288</v>
      </c>
    </row>
    <row r="99" spans="13:87">
      <c r="M99">
        <v>75</v>
      </c>
      <c r="N99">
        <v>689235.26241434435</v>
      </c>
      <c r="O99">
        <v>98852.417585655698</v>
      </c>
      <c r="Y99">
        <v>75</v>
      </c>
      <c r="Z99">
        <v>673141.60864702496</v>
      </c>
      <c r="AA99">
        <v>114946.07135297509</v>
      </c>
      <c r="AK99">
        <v>75</v>
      </c>
      <c r="AL99">
        <v>740232.04380541691</v>
      </c>
      <c r="AM99">
        <v>47855.636194583145</v>
      </c>
      <c r="AW99">
        <v>75</v>
      </c>
      <c r="AX99">
        <v>691294.41029375955</v>
      </c>
      <c r="AY99">
        <v>96793.269706240506</v>
      </c>
      <c r="BI99">
        <v>75</v>
      </c>
      <c r="BJ99">
        <v>691751.18860608805</v>
      </c>
      <c r="BK99">
        <v>96336.491393912002</v>
      </c>
      <c r="BU99">
        <v>75</v>
      </c>
      <c r="BV99">
        <v>725037.1987272721</v>
      </c>
      <c r="BW99">
        <v>63050.48127272795</v>
      </c>
      <c r="CG99">
        <v>75</v>
      </c>
      <c r="CH99">
        <v>678641.93844375876</v>
      </c>
      <c r="CI99">
        <v>109445.74155624129</v>
      </c>
    </row>
    <row r="100" spans="13:87">
      <c r="M100">
        <v>76</v>
      </c>
      <c r="N100">
        <v>740825.69534538244</v>
      </c>
      <c r="O100">
        <v>-59985.335345382453</v>
      </c>
      <c r="Y100">
        <v>76</v>
      </c>
      <c r="Z100">
        <v>669673.34727911546</v>
      </c>
      <c r="AA100">
        <v>11167.012720884522</v>
      </c>
      <c r="AK100">
        <v>76</v>
      </c>
      <c r="AL100">
        <v>740232.04380541691</v>
      </c>
      <c r="AM100">
        <v>-59391.68380541692</v>
      </c>
      <c r="AW100">
        <v>76</v>
      </c>
      <c r="AX100">
        <v>673773.53795986809</v>
      </c>
      <c r="AY100">
        <v>7066.8220401318977</v>
      </c>
      <c r="BI100">
        <v>76</v>
      </c>
      <c r="BJ100">
        <v>683050.03320164955</v>
      </c>
      <c r="BK100">
        <v>-2209.6732016495662</v>
      </c>
      <c r="BU100">
        <v>76</v>
      </c>
      <c r="BV100">
        <v>671411.86335849017</v>
      </c>
      <c r="BW100">
        <v>9428.496641509817</v>
      </c>
      <c r="CG100">
        <v>76</v>
      </c>
      <c r="CH100">
        <v>677584.96518025571</v>
      </c>
      <c r="CI100">
        <v>3255.3948197442805</v>
      </c>
    </row>
    <row r="101" spans="13:87">
      <c r="M101">
        <v>77</v>
      </c>
      <c r="N101">
        <v>684097.62593988422</v>
      </c>
      <c r="O101">
        <v>-40440.155939884251</v>
      </c>
      <c r="Y101">
        <v>77</v>
      </c>
      <c r="Z101">
        <v>683962.58411490265</v>
      </c>
      <c r="AA101">
        <v>-40305.114114902681</v>
      </c>
      <c r="AK101">
        <v>77</v>
      </c>
      <c r="AL101">
        <v>655311.90000428807</v>
      </c>
      <c r="AM101">
        <v>-11654.430004288093</v>
      </c>
      <c r="AW101">
        <v>77</v>
      </c>
      <c r="AX101">
        <v>657139.79840237624</v>
      </c>
      <c r="AY101">
        <v>-13482.328402376268</v>
      </c>
      <c r="BI101">
        <v>77</v>
      </c>
      <c r="BJ101">
        <v>672833.36124028172</v>
      </c>
      <c r="BK101">
        <v>-29175.891240281751</v>
      </c>
      <c r="BU101">
        <v>77</v>
      </c>
      <c r="BV101">
        <v>725037.1987272721</v>
      </c>
      <c r="BW101">
        <v>-81379.72872727213</v>
      </c>
      <c r="CG101">
        <v>77</v>
      </c>
      <c r="CH101">
        <v>684455.29139302555</v>
      </c>
      <c r="CI101">
        <v>-40797.821393025573</v>
      </c>
    </row>
    <row r="102" spans="13:87">
      <c r="M102">
        <v>78</v>
      </c>
      <c r="N102">
        <v>659123.00418903586</v>
      </c>
      <c r="O102">
        <v>31989.595810964121</v>
      </c>
      <c r="Y102">
        <v>78</v>
      </c>
      <c r="Z102">
        <v>688956.8804846924</v>
      </c>
      <c r="AA102">
        <v>2155.7195153075736</v>
      </c>
      <c r="AK102">
        <v>78</v>
      </c>
      <c r="AL102">
        <v>604359.81372361071</v>
      </c>
      <c r="AM102">
        <v>86752.786276389263</v>
      </c>
      <c r="AW102">
        <v>78</v>
      </c>
      <c r="AX102">
        <v>674217.10434806789</v>
      </c>
      <c r="AY102">
        <v>16895.495651932084</v>
      </c>
      <c r="BI102">
        <v>78</v>
      </c>
      <c r="BJ102">
        <v>685741.38156998937</v>
      </c>
      <c r="BK102">
        <v>5371.2184300106019</v>
      </c>
      <c r="BU102">
        <v>78</v>
      </c>
      <c r="BV102">
        <v>671411.86335849017</v>
      </c>
      <c r="BW102">
        <v>19700.736641509808</v>
      </c>
      <c r="CG102">
        <v>78</v>
      </c>
      <c r="CH102">
        <v>686040.75128828012</v>
      </c>
      <c r="CI102">
        <v>5071.8487117198529</v>
      </c>
    </row>
    <row r="103" spans="13:87">
      <c r="M103">
        <v>79</v>
      </c>
      <c r="N103">
        <v>712925.47504657763</v>
      </c>
      <c r="O103">
        <v>63996.694953422411</v>
      </c>
      <c r="Y103">
        <v>79</v>
      </c>
      <c r="Z103">
        <v>673973.99137532327</v>
      </c>
      <c r="AA103">
        <v>102948.17862467677</v>
      </c>
      <c r="AK103">
        <v>79</v>
      </c>
      <c r="AL103">
        <v>672295.92876451381</v>
      </c>
      <c r="AM103">
        <v>104626.24123548623</v>
      </c>
      <c r="AW103">
        <v>79</v>
      </c>
      <c r="AX103">
        <v>670003.22366016987</v>
      </c>
      <c r="AY103">
        <v>106918.94633983017</v>
      </c>
      <c r="BI103">
        <v>79</v>
      </c>
      <c r="BJ103">
        <v>686499.13984845404</v>
      </c>
      <c r="BK103">
        <v>90423.030151546001</v>
      </c>
      <c r="BU103">
        <v>79</v>
      </c>
      <c r="BV103">
        <v>671411.86335849017</v>
      </c>
      <c r="BW103">
        <v>105510.30664150987</v>
      </c>
      <c r="CG103">
        <v>79</v>
      </c>
      <c r="CH103">
        <v>683926.80476127402</v>
      </c>
      <c r="CI103">
        <v>92995.365238726023</v>
      </c>
    </row>
    <row r="104" spans="13:87">
      <c r="M104">
        <v>80</v>
      </c>
      <c r="N104">
        <v>659551.14056190755</v>
      </c>
      <c r="O104">
        <v>-22989.800561907585</v>
      </c>
      <c r="Y104">
        <v>80</v>
      </c>
      <c r="Z104">
        <v>662875.55499801284</v>
      </c>
      <c r="AA104">
        <v>-26314.214998012874</v>
      </c>
      <c r="AK104">
        <v>80</v>
      </c>
      <c r="AL104">
        <v>638327.87124406232</v>
      </c>
      <c r="AM104">
        <v>-1766.5312440623529</v>
      </c>
      <c r="AW104">
        <v>80</v>
      </c>
      <c r="AX104">
        <v>665123.99338997225</v>
      </c>
      <c r="AY104">
        <v>-28562.653389972285</v>
      </c>
      <c r="BI104">
        <v>80</v>
      </c>
      <c r="BJ104">
        <v>686237.84389036277</v>
      </c>
      <c r="BK104">
        <v>-49676.503890362801</v>
      </c>
      <c r="BU104">
        <v>80</v>
      </c>
      <c r="BV104">
        <v>671411.86335849017</v>
      </c>
      <c r="BW104">
        <v>-34850.523358490202</v>
      </c>
      <c r="CG104">
        <v>80</v>
      </c>
      <c r="CH104">
        <v>684455.29139302555</v>
      </c>
      <c r="CI104">
        <v>-47893.951393025578</v>
      </c>
    </row>
    <row r="105" spans="13:87">
      <c r="M105">
        <v>81</v>
      </c>
      <c r="N105">
        <v>639428.73103693826</v>
      </c>
      <c r="O105">
        <v>-18059.151036938303</v>
      </c>
      <c r="Y105">
        <v>81</v>
      </c>
      <c r="Z105">
        <v>673002.87819230859</v>
      </c>
      <c r="AA105">
        <v>-51633.298192308634</v>
      </c>
      <c r="AK105">
        <v>81</v>
      </c>
      <c r="AL105">
        <v>655311.90000428807</v>
      </c>
      <c r="AM105">
        <v>-33942.320004288107</v>
      </c>
      <c r="AW105">
        <v>81</v>
      </c>
      <c r="AX105">
        <v>670890.35643656948</v>
      </c>
      <c r="AY105">
        <v>-49520.776436569518</v>
      </c>
      <c r="BI105">
        <v>81</v>
      </c>
      <c r="BJ105">
        <v>678790.90908476221</v>
      </c>
      <c r="BK105">
        <v>-57421.329084762256</v>
      </c>
      <c r="BU105">
        <v>81</v>
      </c>
      <c r="BV105">
        <v>671411.86335849017</v>
      </c>
      <c r="BW105">
        <v>-50042.283358490211</v>
      </c>
      <c r="CG105">
        <v>81</v>
      </c>
      <c r="CH105">
        <v>677056.47854850418</v>
      </c>
      <c r="CI105">
        <v>-55686.898548504221</v>
      </c>
    </row>
    <row r="106" spans="13:87">
      <c r="M106">
        <v>82</v>
      </c>
      <c r="N106">
        <v>605213.49923827616</v>
      </c>
      <c r="O106">
        <v>76994.510761723854</v>
      </c>
      <c r="Y106">
        <v>82</v>
      </c>
      <c r="Z106">
        <v>684656.2363884846</v>
      </c>
      <c r="AA106">
        <v>-2448.2263884845888</v>
      </c>
      <c r="AK106">
        <v>82</v>
      </c>
      <c r="AL106">
        <v>570391.75620315922</v>
      </c>
      <c r="AM106">
        <v>111816.25379684079</v>
      </c>
      <c r="AW106">
        <v>82</v>
      </c>
      <c r="AX106">
        <v>683531.99850026332</v>
      </c>
      <c r="AY106">
        <v>-1323.9885002633091</v>
      </c>
      <c r="BI106">
        <v>82</v>
      </c>
      <c r="BJ106">
        <v>684199.73541725101</v>
      </c>
      <c r="BK106">
        <v>-1991.7254172510002</v>
      </c>
      <c r="BU106">
        <v>82</v>
      </c>
      <c r="BV106">
        <v>671411.86335849017</v>
      </c>
      <c r="BW106">
        <v>10796.14664150984</v>
      </c>
      <c r="CG106">
        <v>82</v>
      </c>
      <c r="CH106">
        <v>677056.47854850418</v>
      </c>
      <c r="CI106">
        <v>5151.53145149583</v>
      </c>
    </row>
    <row r="107" spans="13:87">
      <c r="M107">
        <v>83</v>
      </c>
      <c r="N107">
        <v>612099.35923529579</v>
      </c>
      <c r="O107">
        <v>115142.50076470419</v>
      </c>
      <c r="Y107">
        <v>83</v>
      </c>
      <c r="Z107">
        <v>686182.27139036474</v>
      </c>
      <c r="AA107">
        <v>41059.588609635248</v>
      </c>
      <c r="AK107">
        <v>83</v>
      </c>
      <c r="AL107">
        <v>655311.90000428807</v>
      </c>
      <c r="AM107">
        <v>71929.959995711921</v>
      </c>
      <c r="AW107">
        <v>83</v>
      </c>
      <c r="AX107">
        <v>677987.418647766</v>
      </c>
      <c r="AY107">
        <v>49254.441352233989</v>
      </c>
      <c r="BI107">
        <v>83</v>
      </c>
      <c r="BJ107">
        <v>685532.3448035164</v>
      </c>
      <c r="BK107">
        <v>41709.515196483582</v>
      </c>
      <c r="BU107">
        <v>83</v>
      </c>
      <c r="BV107">
        <v>671411.86335849017</v>
      </c>
      <c r="BW107">
        <v>55829.996641509817</v>
      </c>
      <c r="CG107">
        <v>83</v>
      </c>
      <c r="CH107">
        <v>677056.47854850418</v>
      </c>
      <c r="CI107">
        <v>50185.381451495807</v>
      </c>
    </row>
    <row r="108" spans="13:87">
      <c r="M108">
        <v>84</v>
      </c>
      <c r="N108">
        <v>573388.69552148087</v>
      </c>
      <c r="O108">
        <v>-4287.9155214808416</v>
      </c>
      <c r="Y108">
        <v>84</v>
      </c>
      <c r="Z108">
        <v>693673.71594504931</v>
      </c>
      <c r="AA108">
        <v>-124572.93594504928</v>
      </c>
      <c r="AK108">
        <v>84</v>
      </c>
      <c r="AL108">
        <v>536423.69868270773</v>
      </c>
      <c r="AM108">
        <v>32677.081317292294</v>
      </c>
      <c r="AW108">
        <v>84</v>
      </c>
      <c r="AX108">
        <v>670225.00685426989</v>
      </c>
      <c r="AY108">
        <v>-101124.22685426986</v>
      </c>
      <c r="BI108">
        <v>84</v>
      </c>
      <c r="BJ108">
        <v>688798.54427965696</v>
      </c>
      <c r="BK108">
        <v>-119697.76427965693</v>
      </c>
      <c r="BU108">
        <v>84</v>
      </c>
      <c r="BV108">
        <v>671411.86335849017</v>
      </c>
      <c r="BW108">
        <v>-102311.08335849014</v>
      </c>
      <c r="CG108">
        <v>84</v>
      </c>
      <c r="CH108">
        <v>679170.42507551028</v>
      </c>
      <c r="CI108">
        <v>-110069.64507551026</v>
      </c>
    </row>
    <row r="109" spans="13:87">
      <c r="M109">
        <v>85</v>
      </c>
      <c r="N109">
        <v>556691.37697948515</v>
      </c>
      <c r="O109">
        <v>17744.913020514883</v>
      </c>
      <c r="Y109">
        <v>85</v>
      </c>
      <c r="Z109">
        <v>682852.74047717161</v>
      </c>
      <c r="AA109">
        <v>-108416.45047717157</v>
      </c>
      <c r="AK109">
        <v>85</v>
      </c>
      <c r="AL109">
        <v>519439.66992248193</v>
      </c>
      <c r="AM109">
        <v>54996.620077518106</v>
      </c>
      <c r="AW109">
        <v>85</v>
      </c>
      <c r="AX109">
        <v>674217.10434806789</v>
      </c>
      <c r="AY109">
        <v>-99780.814348067855</v>
      </c>
      <c r="BI109">
        <v>85</v>
      </c>
      <c r="BJ109">
        <v>673303.69396484597</v>
      </c>
      <c r="BK109">
        <v>-98867.403964845929</v>
      </c>
      <c r="BU109">
        <v>85</v>
      </c>
      <c r="BV109">
        <v>671411.86335849017</v>
      </c>
      <c r="BW109">
        <v>-96975.573358490132</v>
      </c>
      <c r="CG109">
        <v>85</v>
      </c>
      <c r="CH109">
        <v>675471.0186532496</v>
      </c>
      <c r="CI109">
        <v>-101034.72865324956</v>
      </c>
    </row>
    <row r="110" spans="13:87">
      <c r="M110">
        <v>86</v>
      </c>
      <c r="N110">
        <v>589265.41934880579</v>
      </c>
      <c r="O110">
        <v>22501.300651194178</v>
      </c>
      <c r="Y110">
        <v>86</v>
      </c>
      <c r="Z110">
        <v>669257.15591496637</v>
      </c>
      <c r="AA110">
        <v>-57490.435914966394</v>
      </c>
      <c r="AK110">
        <v>86</v>
      </c>
      <c r="AL110">
        <v>587375.78496338497</v>
      </c>
      <c r="AM110">
        <v>24390.935036615003</v>
      </c>
      <c r="AW110">
        <v>86</v>
      </c>
      <c r="AX110">
        <v>688633.01196456084</v>
      </c>
      <c r="AY110">
        <v>-76866.291964560864</v>
      </c>
      <c r="BI110">
        <v>86</v>
      </c>
      <c r="BJ110">
        <v>676935.70778231439</v>
      </c>
      <c r="BK110">
        <v>-65168.98778231442</v>
      </c>
      <c r="BU110">
        <v>86</v>
      </c>
      <c r="BV110">
        <v>671411.86335849017</v>
      </c>
      <c r="BW110">
        <v>-59645.143358490197</v>
      </c>
      <c r="CG110">
        <v>86</v>
      </c>
      <c r="CH110">
        <v>680755.88497076486</v>
      </c>
      <c r="CI110">
        <v>-68989.16497076489</v>
      </c>
    </row>
    <row r="111" spans="13:87">
      <c r="M111">
        <v>87</v>
      </c>
      <c r="N111">
        <v>581558.96463711548</v>
      </c>
      <c r="O111">
        <v>33037.355362884467</v>
      </c>
      <c r="Y111">
        <v>87</v>
      </c>
      <c r="Z111">
        <v>689650.53275827423</v>
      </c>
      <c r="AA111">
        <v>-75054.212758274283</v>
      </c>
      <c r="AK111">
        <v>87</v>
      </c>
      <c r="AL111">
        <v>587375.78496338497</v>
      </c>
      <c r="AM111">
        <v>27220.53503661498</v>
      </c>
      <c r="AW111">
        <v>87</v>
      </c>
      <c r="AX111">
        <v>681092.38336516451</v>
      </c>
      <c r="AY111">
        <v>-66496.063365164562</v>
      </c>
      <c r="BI111">
        <v>87</v>
      </c>
      <c r="BJ111">
        <v>651955.81418879109</v>
      </c>
      <c r="BK111">
        <v>-37359.494188791141</v>
      </c>
      <c r="BU111">
        <v>87</v>
      </c>
      <c r="BV111">
        <v>671411.86335849017</v>
      </c>
      <c r="BW111">
        <v>-56815.54335849022</v>
      </c>
      <c r="CG111">
        <v>87</v>
      </c>
      <c r="CH111">
        <v>678641.93844375876</v>
      </c>
      <c r="CI111">
        <v>-64045.618443758809</v>
      </c>
    </row>
    <row r="112" spans="13:87">
      <c r="M112">
        <v>88</v>
      </c>
      <c r="N112">
        <v>491364.9020854804</v>
      </c>
      <c r="O112">
        <v>-40652.982085480413</v>
      </c>
      <c r="Y112">
        <v>88</v>
      </c>
      <c r="Z112">
        <v>677719.71365266549</v>
      </c>
      <c r="AA112">
        <v>-227007.79365266551</v>
      </c>
      <c r="AK112">
        <v>88</v>
      </c>
      <c r="AL112">
        <v>553407.72744293348</v>
      </c>
      <c r="AM112">
        <v>-102695.8074429335</v>
      </c>
      <c r="AW112">
        <v>88</v>
      </c>
      <c r="AX112">
        <v>676434.9362890668</v>
      </c>
      <c r="AY112">
        <v>-225723.01628906681</v>
      </c>
      <c r="BI112">
        <v>88</v>
      </c>
      <c r="BJ112">
        <v>681220.96149501076</v>
      </c>
      <c r="BK112">
        <v>-230509.04149501078</v>
      </c>
      <c r="BU112">
        <v>88</v>
      </c>
      <c r="BV112">
        <v>671411.86335849017</v>
      </c>
      <c r="BW112">
        <v>-220699.94335849019</v>
      </c>
      <c r="CG112">
        <v>88</v>
      </c>
      <c r="CH112">
        <v>677056.47854850418</v>
      </c>
      <c r="CI112">
        <v>-226344.5585485042</v>
      </c>
    </row>
    <row r="113" spans="13:87">
      <c r="M113">
        <v>89</v>
      </c>
      <c r="N113">
        <v>697013.07318817999</v>
      </c>
      <c r="O113">
        <v>14200.386811819975</v>
      </c>
      <c r="Y113">
        <v>89</v>
      </c>
      <c r="Z113">
        <v>693812.44639976567</v>
      </c>
      <c r="AA113">
        <v>17401.013600234292</v>
      </c>
      <c r="AK113">
        <v>89</v>
      </c>
      <c r="AL113">
        <v>706263.98628496542</v>
      </c>
      <c r="AM113">
        <v>4949.4737150345463</v>
      </c>
      <c r="AW113">
        <v>89</v>
      </c>
      <c r="AX113">
        <v>660466.54631387466</v>
      </c>
      <c r="AY113">
        <v>50746.913686125306</v>
      </c>
      <c r="BI113">
        <v>89</v>
      </c>
      <c r="BJ113">
        <v>675211.15445891209</v>
      </c>
      <c r="BK113">
        <v>36002.305541087873</v>
      </c>
      <c r="BU113">
        <v>89</v>
      </c>
      <c r="BV113">
        <v>725037.1987272721</v>
      </c>
      <c r="BW113">
        <v>-13823.738727272139</v>
      </c>
      <c r="CG113">
        <v>89</v>
      </c>
      <c r="CH113">
        <v>679698.91170726181</v>
      </c>
      <c r="CI113">
        <v>31514.548292738153</v>
      </c>
    </row>
    <row r="114" spans="13:87">
      <c r="M114">
        <v>90</v>
      </c>
      <c r="N114">
        <v>639071.95072621189</v>
      </c>
      <c r="O114">
        <v>-11900.050726211863</v>
      </c>
      <c r="Y114">
        <v>90</v>
      </c>
      <c r="Z114">
        <v>696032.13367522776</v>
      </c>
      <c r="AA114">
        <v>-68860.233675227733</v>
      </c>
      <c r="AK114">
        <v>90</v>
      </c>
      <c r="AL114">
        <v>604359.81372361071</v>
      </c>
      <c r="AM114">
        <v>22812.086276389309</v>
      </c>
      <c r="AW114">
        <v>90</v>
      </c>
      <c r="AX114">
        <v>677765.63545366609</v>
      </c>
      <c r="AY114">
        <v>-50593.735453666071</v>
      </c>
      <c r="BI114">
        <v>90</v>
      </c>
      <c r="BJ114">
        <v>681351.6094740564</v>
      </c>
      <c r="BK114">
        <v>-54179.709474056377</v>
      </c>
      <c r="BU114">
        <v>90</v>
      </c>
      <c r="BV114">
        <v>671411.86335849017</v>
      </c>
      <c r="BW114">
        <v>-44239.963358490146</v>
      </c>
      <c r="CG114">
        <v>90</v>
      </c>
      <c r="CH114">
        <v>677584.96518025571</v>
      </c>
      <c r="CI114">
        <v>-50413.065180255682</v>
      </c>
    </row>
    <row r="115" spans="13:87">
      <c r="M115">
        <v>91</v>
      </c>
      <c r="N115">
        <v>660050.63299692445</v>
      </c>
      <c r="O115">
        <v>79801.947003075504</v>
      </c>
      <c r="Y115">
        <v>91</v>
      </c>
      <c r="Z115">
        <v>692286.41139788553</v>
      </c>
      <c r="AA115">
        <v>47566.168602114427</v>
      </c>
      <c r="AK115">
        <v>91</v>
      </c>
      <c r="AL115">
        <v>689279.95752473956</v>
      </c>
      <c r="AM115">
        <v>50572.622475260403</v>
      </c>
      <c r="AW115">
        <v>91</v>
      </c>
      <c r="AX115">
        <v>688411.22877046093</v>
      </c>
      <c r="AY115">
        <v>51441.351229539025</v>
      </c>
      <c r="BI115">
        <v>91</v>
      </c>
      <c r="BJ115">
        <v>677458.29969849682</v>
      </c>
      <c r="BK115">
        <v>62394.280301503139</v>
      </c>
      <c r="BU115">
        <v>91</v>
      </c>
      <c r="BV115">
        <v>671411.86335849017</v>
      </c>
      <c r="BW115">
        <v>68440.716641509789</v>
      </c>
      <c r="CG115">
        <v>91</v>
      </c>
      <c r="CH115">
        <v>676527.99191675265</v>
      </c>
      <c r="CI115">
        <v>63324.588083247305</v>
      </c>
    </row>
    <row r="116" spans="13:87">
      <c r="M116">
        <v>92</v>
      </c>
      <c r="N116">
        <v>578454.97593379579</v>
      </c>
      <c r="O116">
        <v>7852.2440662041772</v>
      </c>
      <c r="Y116">
        <v>92</v>
      </c>
      <c r="Z116">
        <v>691870.22003373632</v>
      </c>
      <c r="AA116">
        <v>-105563.00003373635</v>
      </c>
      <c r="AK116">
        <v>92</v>
      </c>
      <c r="AL116">
        <v>587375.78496338497</v>
      </c>
      <c r="AM116">
        <v>-1068.5649633849971</v>
      </c>
      <c r="AW116">
        <v>92</v>
      </c>
      <c r="AX116">
        <v>672664.62198936869</v>
      </c>
      <c r="AY116">
        <v>-86357.401989368722</v>
      </c>
      <c r="BI116">
        <v>92</v>
      </c>
      <c r="BJ116">
        <v>691620.54062704241</v>
      </c>
      <c r="BK116">
        <v>-105313.32062704244</v>
      </c>
      <c r="BU116">
        <v>92</v>
      </c>
      <c r="BV116">
        <v>671411.86335849017</v>
      </c>
      <c r="BW116">
        <v>-85104.643358490197</v>
      </c>
      <c r="CG116">
        <v>92</v>
      </c>
      <c r="CH116">
        <v>678641.93844375876</v>
      </c>
      <c r="CI116">
        <v>-92334.718443758786</v>
      </c>
    </row>
    <row r="117" spans="13:87">
      <c r="M117">
        <v>93</v>
      </c>
      <c r="N117">
        <v>607282.8250404892</v>
      </c>
      <c r="O117">
        <v>-21345.345040489221</v>
      </c>
      <c r="Y117">
        <v>93</v>
      </c>
      <c r="Z117">
        <v>670921.92137156287</v>
      </c>
      <c r="AA117">
        <v>-84984.441371562891</v>
      </c>
      <c r="AK117">
        <v>93</v>
      </c>
      <c r="AL117">
        <v>638327.87124406232</v>
      </c>
      <c r="AM117">
        <v>-52390.391244062339</v>
      </c>
      <c r="AW117">
        <v>93</v>
      </c>
      <c r="AX117">
        <v>686858.74641176173</v>
      </c>
      <c r="AY117">
        <v>-100921.26641176175</v>
      </c>
      <c r="BI117">
        <v>93</v>
      </c>
      <c r="BJ117">
        <v>684852.97531247919</v>
      </c>
      <c r="BK117">
        <v>-98915.495312479208</v>
      </c>
      <c r="BU117">
        <v>93</v>
      </c>
      <c r="BV117">
        <v>671411.86335849017</v>
      </c>
      <c r="BW117">
        <v>-85474.383358490188</v>
      </c>
      <c r="CG117">
        <v>93</v>
      </c>
      <c r="CH117">
        <v>677056.47854850418</v>
      </c>
      <c r="CI117">
        <v>-91118.998548504198</v>
      </c>
    </row>
    <row r="118" spans="13:87">
      <c r="M118">
        <v>94</v>
      </c>
      <c r="N118">
        <v>677497.19019144564</v>
      </c>
      <c r="O118">
        <v>75976.359808554407</v>
      </c>
      <c r="Y118">
        <v>94</v>
      </c>
      <c r="Z118">
        <v>697835.62958654074</v>
      </c>
      <c r="AA118">
        <v>55637.920413459302</v>
      </c>
      <c r="AK118">
        <v>94</v>
      </c>
      <c r="AL118">
        <v>672295.92876451381</v>
      </c>
      <c r="AM118">
        <v>81177.621235486236</v>
      </c>
      <c r="AW118">
        <v>94</v>
      </c>
      <c r="AX118">
        <v>686415.18002356193</v>
      </c>
      <c r="AY118">
        <v>67058.369976438116</v>
      </c>
      <c r="BI118">
        <v>94</v>
      </c>
      <c r="BJ118">
        <v>688197.56357604708</v>
      </c>
      <c r="BK118">
        <v>65275.986423952971</v>
      </c>
      <c r="BU118">
        <v>94</v>
      </c>
      <c r="BV118">
        <v>671411.86335849017</v>
      </c>
      <c r="BW118">
        <v>82061.686641509878</v>
      </c>
      <c r="CG118">
        <v>94</v>
      </c>
      <c r="CH118">
        <v>677584.96518025571</v>
      </c>
      <c r="CI118">
        <v>75888.584819744341</v>
      </c>
    </row>
    <row r="119" spans="13:87">
      <c r="M119">
        <v>95</v>
      </c>
      <c r="N119">
        <v>730764.49058289791</v>
      </c>
      <c r="O119">
        <v>107485.82941710204</v>
      </c>
      <c r="Y119">
        <v>95</v>
      </c>
      <c r="Z119">
        <v>687708.30639224499</v>
      </c>
      <c r="AA119">
        <v>150542.01360775495</v>
      </c>
      <c r="AK119">
        <v>95</v>
      </c>
      <c r="AL119">
        <v>689279.95752473956</v>
      </c>
      <c r="AM119">
        <v>148970.36247526039</v>
      </c>
      <c r="AW119">
        <v>95</v>
      </c>
      <c r="AX119">
        <v>687302.31279996154</v>
      </c>
      <c r="AY119">
        <v>150948.00720003841</v>
      </c>
      <c r="BI119">
        <v>95</v>
      </c>
      <c r="BJ119">
        <v>690392.44962401362</v>
      </c>
      <c r="BK119">
        <v>147857.87037598633</v>
      </c>
      <c r="BU119">
        <v>95</v>
      </c>
      <c r="BV119">
        <v>671411.86335849017</v>
      </c>
      <c r="BW119">
        <v>166838.45664150978</v>
      </c>
      <c r="CG119">
        <v>95</v>
      </c>
      <c r="CH119">
        <v>674942.53202149796</v>
      </c>
      <c r="CI119">
        <v>163307.78797850199</v>
      </c>
    </row>
    <row r="120" spans="13:87">
      <c r="M120">
        <v>96</v>
      </c>
      <c r="N120">
        <v>662512.41714093671</v>
      </c>
      <c r="O120">
        <v>-54614.297140936716</v>
      </c>
      <c r="Y120">
        <v>96</v>
      </c>
      <c r="Z120">
        <v>687569.57593752863</v>
      </c>
      <c r="AA120">
        <v>-79671.455937528634</v>
      </c>
      <c r="AK120">
        <v>96</v>
      </c>
      <c r="AL120">
        <v>655311.90000428807</v>
      </c>
      <c r="AM120">
        <v>-47413.78000428807</v>
      </c>
      <c r="AW120">
        <v>96</v>
      </c>
      <c r="AX120">
        <v>693512.24223475845</v>
      </c>
      <c r="AY120">
        <v>-85614.122234758455</v>
      </c>
      <c r="BI120">
        <v>96</v>
      </c>
      <c r="BJ120">
        <v>677353.78131526033</v>
      </c>
      <c r="BK120">
        <v>-69455.661315260339</v>
      </c>
      <c r="BU120">
        <v>96</v>
      </c>
      <c r="BV120">
        <v>671411.86335849017</v>
      </c>
      <c r="BW120">
        <v>-63513.743358490174</v>
      </c>
      <c r="CG120">
        <v>96</v>
      </c>
      <c r="CH120">
        <v>677584.96518025571</v>
      </c>
      <c r="CI120">
        <v>-69686.84518025571</v>
      </c>
    </row>
    <row r="121" spans="13:87">
      <c r="M121">
        <v>97</v>
      </c>
      <c r="N121">
        <v>674535.91361241648</v>
      </c>
      <c r="O121">
        <v>16577.706387583516</v>
      </c>
      <c r="Y121">
        <v>97</v>
      </c>
      <c r="Z121">
        <v>675222.56546777068</v>
      </c>
      <c r="AA121">
        <v>15891.054532229318</v>
      </c>
      <c r="AK121">
        <v>97</v>
      </c>
      <c r="AL121">
        <v>723248.01504519116</v>
      </c>
      <c r="AM121">
        <v>-32134.395045191166</v>
      </c>
      <c r="AW121">
        <v>97</v>
      </c>
      <c r="AX121">
        <v>686636.96321766183</v>
      </c>
      <c r="AY121">
        <v>4476.6567823381629</v>
      </c>
      <c r="BI121">
        <v>97</v>
      </c>
      <c r="BJ121">
        <v>641268.80950285902</v>
      </c>
      <c r="BK121">
        <v>49844.810497140978</v>
      </c>
      <c r="BU121">
        <v>97</v>
      </c>
      <c r="BV121">
        <v>671411.86335849017</v>
      </c>
      <c r="BW121">
        <v>19701.756641509826</v>
      </c>
      <c r="CG121">
        <v>97</v>
      </c>
      <c r="CH121">
        <v>678113.45181200723</v>
      </c>
      <c r="CI121">
        <v>13000.168187992764</v>
      </c>
    </row>
    <row r="122" spans="13:87">
      <c r="M122">
        <v>98</v>
      </c>
      <c r="N122">
        <v>630152.4429580518</v>
      </c>
      <c r="O122">
        <v>105356.95704194822</v>
      </c>
      <c r="Y122">
        <v>98</v>
      </c>
      <c r="Z122">
        <v>674112.72183003963</v>
      </c>
      <c r="AA122">
        <v>61396.678169960389</v>
      </c>
      <c r="AK122">
        <v>98</v>
      </c>
      <c r="AL122">
        <v>621343.84248383646</v>
      </c>
      <c r="AM122">
        <v>114165.55751616356</v>
      </c>
      <c r="AW122">
        <v>98</v>
      </c>
      <c r="AX122">
        <v>675104.2371244675</v>
      </c>
      <c r="AY122">
        <v>60405.162875532522</v>
      </c>
      <c r="BI122">
        <v>98</v>
      </c>
      <c r="BJ122">
        <v>672702.71326123609</v>
      </c>
      <c r="BK122">
        <v>62806.686738763936</v>
      </c>
      <c r="BU122">
        <v>98</v>
      </c>
      <c r="BV122">
        <v>671411.86335849017</v>
      </c>
      <c r="BW122">
        <v>64097.536641509854</v>
      </c>
      <c r="CG122">
        <v>98</v>
      </c>
      <c r="CH122">
        <v>678641.93844375876</v>
      </c>
      <c r="CI122">
        <v>56867.461556241265</v>
      </c>
    </row>
    <row r="123" spans="13:87">
      <c r="M123">
        <v>99</v>
      </c>
      <c r="N123">
        <v>614525.46534823533</v>
      </c>
      <c r="O123">
        <v>-8750.1353482353734</v>
      </c>
      <c r="Y123">
        <v>99</v>
      </c>
      <c r="Z123">
        <v>687430.84548281215</v>
      </c>
      <c r="AA123">
        <v>-81655.515482812189</v>
      </c>
      <c r="AK123">
        <v>99</v>
      </c>
      <c r="AL123">
        <v>655311.90000428807</v>
      </c>
      <c r="AM123">
        <v>-49536.570004288107</v>
      </c>
      <c r="AW123">
        <v>99</v>
      </c>
      <c r="AX123">
        <v>683753.78169436322</v>
      </c>
      <c r="AY123">
        <v>-77978.451694363263</v>
      </c>
      <c r="BI123">
        <v>99</v>
      </c>
      <c r="BJ123">
        <v>683690.20829897304</v>
      </c>
      <c r="BK123">
        <v>-77914.878298973083</v>
      </c>
      <c r="BU123">
        <v>99</v>
      </c>
      <c r="BV123">
        <v>671411.86335849017</v>
      </c>
      <c r="BW123">
        <v>-65636.533358490211</v>
      </c>
      <c r="CG123">
        <v>99</v>
      </c>
      <c r="CH123">
        <v>678641.93844375876</v>
      </c>
      <c r="CI123">
        <v>-72866.6084437588</v>
      </c>
    </row>
    <row r="124" spans="13:87">
      <c r="M124">
        <v>100</v>
      </c>
      <c r="N124">
        <v>634826.26502856775</v>
      </c>
      <c r="O124">
        <v>40351.414971432299</v>
      </c>
      <c r="Y124">
        <v>100</v>
      </c>
      <c r="Z124">
        <v>671615.57364514482</v>
      </c>
      <c r="AA124">
        <v>3562.1063548552338</v>
      </c>
      <c r="AK124">
        <v>100</v>
      </c>
      <c r="AL124">
        <v>587375.78496338497</v>
      </c>
      <c r="AM124">
        <v>87801.895036615082</v>
      </c>
      <c r="AW124">
        <v>100</v>
      </c>
      <c r="AX124">
        <v>686636.96321766183</v>
      </c>
      <c r="AY124">
        <v>-11459.283217661781</v>
      </c>
      <c r="BI124">
        <v>100</v>
      </c>
      <c r="BJ124">
        <v>685427.82642027992</v>
      </c>
      <c r="BK124">
        <v>-10250.146420279867</v>
      </c>
      <c r="BU124">
        <v>100</v>
      </c>
      <c r="BV124">
        <v>671411.86335849017</v>
      </c>
      <c r="BW124">
        <v>3765.8166415098822</v>
      </c>
      <c r="CG124">
        <v>100</v>
      </c>
      <c r="CH124">
        <v>678113.45181200723</v>
      </c>
      <c r="CI124">
        <v>-2935.7718120071804</v>
      </c>
    </row>
    <row r="125" spans="13:87">
      <c r="M125">
        <v>101</v>
      </c>
      <c r="N125">
        <v>576349.97210051003</v>
      </c>
      <c r="O125">
        <v>58831.377899489948</v>
      </c>
      <c r="Y125">
        <v>101</v>
      </c>
      <c r="Z125">
        <v>677026.06137908367</v>
      </c>
      <c r="AA125">
        <v>-41844.711379083688</v>
      </c>
      <c r="AK125">
        <v>101</v>
      </c>
      <c r="AL125">
        <v>604359.81372361071</v>
      </c>
      <c r="AM125">
        <v>30821.536276389263</v>
      </c>
      <c r="AW125">
        <v>101</v>
      </c>
      <c r="AX125">
        <v>687524.09599406144</v>
      </c>
      <c r="AY125">
        <v>-52342.745994061464</v>
      </c>
      <c r="BI125">
        <v>101</v>
      </c>
      <c r="BJ125">
        <v>691960.22537256102</v>
      </c>
      <c r="BK125">
        <v>-56778.875372561044</v>
      </c>
      <c r="BU125">
        <v>101</v>
      </c>
      <c r="BV125">
        <v>671411.86335849017</v>
      </c>
      <c r="BW125">
        <v>-36230.513358490192</v>
      </c>
      <c r="CG125">
        <v>101</v>
      </c>
      <c r="CH125">
        <v>678113.45181200723</v>
      </c>
      <c r="CI125">
        <v>-42932.101812007255</v>
      </c>
    </row>
    <row r="126" spans="13:87">
      <c r="M126">
        <v>102</v>
      </c>
      <c r="N126">
        <v>602430.61281461013</v>
      </c>
      <c r="O126">
        <v>-15803.672814610181</v>
      </c>
      <c r="Y126">
        <v>102</v>
      </c>
      <c r="Z126">
        <v>673835.2609206069</v>
      </c>
      <c r="AA126">
        <v>-87208.320920606959</v>
      </c>
      <c r="AK126">
        <v>102</v>
      </c>
      <c r="AL126">
        <v>638327.87124406232</v>
      </c>
      <c r="AM126">
        <v>-51700.931244062376</v>
      </c>
      <c r="AW126">
        <v>102</v>
      </c>
      <c r="AX126">
        <v>685306.26405306254</v>
      </c>
      <c r="AY126">
        <v>-98679.324053062592</v>
      </c>
      <c r="BI126">
        <v>102</v>
      </c>
      <c r="BJ126">
        <v>671918.82538696239</v>
      </c>
      <c r="BK126">
        <v>-85291.885386962444</v>
      </c>
      <c r="BU126">
        <v>102</v>
      </c>
      <c r="BV126">
        <v>671411.86335849017</v>
      </c>
      <c r="BW126">
        <v>-84784.923358490225</v>
      </c>
      <c r="CG126">
        <v>102</v>
      </c>
      <c r="CH126">
        <v>676527.99191675265</v>
      </c>
      <c r="CI126">
        <v>-89901.051916752709</v>
      </c>
    </row>
    <row r="127" spans="13:87">
      <c r="M127">
        <v>103</v>
      </c>
      <c r="N127">
        <v>690162.89122223307</v>
      </c>
      <c r="O127">
        <v>49939.748777766945</v>
      </c>
      <c r="Y127">
        <v>103</v>
      </c>
      <c r="Z127">
        <v>672170.49546401028</v>
      </c>
      <c r="AA127">
        <v>67932.144535989733</v>
      </c>
      <c r="AK127">
        <v>103</v>
      </c>
      <c r="AL127">
        <v>638327.87124406232</v>
      </c>
      <c r="AM127">
        <v>101774.76875593769</v>
      </c>
      <c r="AW127">
        <v>103</v>
      </c>
      <c r="AX127">
        <v>663349.72783717315</v>
      </c>
      <c r="AY127">
        <v>76752.912162826862</v>
      </c>
      <c r="BI127">
        <v>103</v>
      </c>
      <c r="BJ127">
        <v>690470.83841144096</v>
      </c>
      <c r="BK127">
        <v>49631.801588559058</v>
      </c>
      <c r="BU127">
        <v>103</v>
      </c>
      <c r="BV127">
        <v>725037.1987272721</v>
      </c>
      <c r="BW127">
        <v>15065.441272727912</v>
      </c>
      <c r="CG127">
        <v>103</v>
      </c>
      <c r="CH127">
        <v>678113.45181200723</v>
      </c>
      <c r="CI127">
        <v>61989.188187992782</v>
      </c>
    </row>
    <row r="128" spans="13:87">
      <c r="M128">
        <v>104</v>
      </c>
      <c r="N128">
        <v>532537.34994330746</v>
      </c>
      <c r="O128">
        <v>92976.690056692576</v>
      </c>
      <c r="Y128">
        <v>104</v>
      </c>
      <c r="Z128">
        <v>686737.19320923032</v>
      </c>
      <c r="AA128">
        <v>-61223.15320923028</v>
      </c>
      <c r="AK128">
        <v>104</v>
      </c>
      <c r="AL128">
        <v>519439.66992248193</v>
      </c>
      <c r="AM128">
        <v>106074.37007751811</v>
      </c>
      <c r="AW128">
        <v>104</v>
      </c>
      <c r="AX128">
        <v>689076.57835276064</v>
      </c>
      <c r="AY128">
        <v>-63562.538352760603</v>
      </c>
      <c r="BI128">
        <v>104</v>
      </c>
      <c r="BJ128">
        <v>688615.63710899313</v>
      </c>
      <c r="BK128">
        <v>-63101.597108993097</v>
      </c>
      <c r="BU128">
        <v>104</v>
      </c>
      <c r="BV128">
        <v>671411.86335849017</v>
      </c>
      <c r="BW128">
        <v>-45897.823358490132</v>
      </c>
      <c r="CG128">
        <v>104</v>
      </c>
      <c r="CH128">
        <v>674942.53202149796</v>
      </c>
      <c r="CI128">
        <v>-49428.492021497921</v>
      </c>
    </row>
    <row r="129" spans="13:87">
      <c r="M129">
        <v>105</v>
      </c>
      <c r="N129">
        <v>709500.38406360417</v>
      </c>
      <c r="O129">
        <v>17726.815936395782</v>
      </c>
      <c r="Y129">
        <v>105</v>
      </c>
      <c r="Z129">
        <v>683546.39275075356</v>
      </c>
      <c r="AA129">
        <v>43680.807249246398</v>
      </c>
      <c r="AK129">
        <v>105</v>
      </c>
      <c r="AL129">
        <v>757216.07256564265</v>
      </c>
      <c r="AM129">
        <v>-29988.872565642698</v>
      </c>
      <c r="AW129">
        <v>105</v>
      </c>
      <c r="AX129">
        <v>667341.82533097127</v>
      </c>
      <c r="AY129">
        <v>59885.374669028679</v>
      </c>
      <c r="BI129">
        <v>105</v>
      </c>
      <c r="BJ129">
        <v>684983.62329152471</v>
      </c>
      <c r="BK129">
        <v>42243.576708475244</v>
      </c>
      <c r="BU129">
        <v>105</v>
      </c>
      <c r="BV129">
        <v>671411.86335849017</v>
      </c>
      <c r="BW129">
        <v>55815.336641509784</v>
      </c>
      <c r="CG129">
        <v>105</v>
      </c>
      <c r="CH129">
        <v>686040.75128828012</v>
      </c>
      <c r="CI129">
        <v>41186.44871171983</v>
      </c>
    </row>
    <row r="130" spans="13:87">
      <c r="M130">
        <v>106</v>
      </c>
      <c r="N130">
        <v>758200.89647775842</v>
      </c>
      <c r="O130">
        <v>25596.993522241595</v>
      </c>
      <c r="Y130">
        <v>106</v>
      </c>
      <c r="Z130">
        <v>690066.72412242345</v>
      </c>
      <c r="AA130">
        <v>93731.165877576568</v>
      </c>
      <c r="AK130">
        <v>106</v>
      </c>
      <c r="AL130">
        <v>757216.07256564265</v>
      </c>
      <c r="AM130">
        <v>26581.817434357363</v>
      </c>
      <c r="AW130">
        <v>106</v>
      </c>
      <c r="AX130">
        <v>688411.22877046093</v>
      </c>
      <c r="AY130">
        <v>95386.661229539081</v>
      </c>
      <c r="BI130">
        <v>106</v>
      </c>
      <c r="BJ130">
        <v>685088.14167476131</v>
      </c>
      <c r="BK130">
        <v>98709.748325238703</v>
      </c>
      <c r="BU130">
        <v>106</v>
      </c>
      <c r="BV130">
        <v>671411.86335849017</v>
      </c>
      <c r="BW130">
        <v>112386.02664150984</v>
      </c>
      <c r="CG130">
        <v>106</v>
      </c>
      <c r="CH130">
        <v>685512.2646565286</v>
      </c>
      <c r="CI130">
        <v>98285.625343471416</v>
      </c>
    </row>
    <row r="131" spans="13:87">
      <c r="M131">
        <v>107</v>
      </c>
      <c r="N131">
        <v>695871.37619385554</v>
      </c>
      <c r="O131">
        <v>99282.463806144428</v>
      </c>
      <c r="Y131">
        <v>107</v>
      </c>
      <c r="Z131">
        <v>679384.47910926212</v>
      </c>
      <c r="AA131">
        <v>115769.36089073785</v>
      </c>
      <c r="AK131">
        <v>107</v>
      </c>
      <c r="AL131">
        <v>638327.87124406232</v>
      </c>
      <c r="AM131">
        <v>156825.96875593765</v>
      </c>
      <c r="AW131">
        <v>107</v>
      </c>
      <c r="AX131">
        <v>693512.24223475845</v>
      </c>
      <c r="AY131">
        <v>101641.59776524152</v>
      </c>
      <c r="BI131">
        <v>107</v>
      </c>
      <c r="BJ131">
        <v>691829.5773935155</v>
      </c>
      <c r="BK131">
        <v>103324.26260648447</v>
      </c>
      <c r="BU131">
        <v>107</v>
      </c>
      <c r="BV131">
        <v>671411.86335849017</v>
      </c>
      <c r="BW131">
        <v>123741.9766415098</v>
      </c>
      <c r="CG131">
        <v>107</v>
      </c>
      <c r="CH131">
        <v>685512.2646565286</v>
      </c>
      <c r="CI131">
        <v>109641.57534347137</v>
      </c>
    </row>
    <row r="132" spans="13:87">
      <c r="M132">
        <v>108</v>
      </c>
      <c r="N132">
        <v>699974.34976720915</v>
      </c>
      <c r="O132">
        <v>-34379.409767209203</v>
      </c>
      <c r="Y132">
        <v>108</v>
      </c>
      <c r="Z132">
        <v>690760.37639600527</v>
      </c>
      <c r="AA132">
        <v>-25165.436396005331</v>
      </c>
      <c r="AK132">
        <v>108</v>
      </c>
      <c r="AL132">
        <v>655311.90000428807</v>
      </c>
      <c r="AM132">
        <v>10283.039995711879</v>
      </c>
      <c r="AW132">
        <v>108</v>
      </c>
      <c r="AX132">
        <v>677765.63545366609</v>
      </c>
      <c r="AY132">
        <v>-12170.695453666151</v>
      </c>
      <c r="BI132">
        <v>108</v>
      </c>
      <c r="BJ132">
        <v>657652.06607518031</v>
      </c>
      <c r="BK132">
        <v>7942.8739248196362</v>
      </c>
      <c r="BU132">
        <v>108</v>
      </c>
      <c r="BV132">
        <v>671411.86335849017</v>
      </c>
      <c r="BW132">
        <v>-5816.9233584902249</v>
      </c>
      <c r="CG132">
        <v>108</v>
      </c>
      <c r="CH132">
        <v>684455.29139302555</v>
      </c>
      <c r="CI132">
        <v>-18860.351393025601</v>
      </c>
    </row>
    <row r="133" spans="13:87">
      <c r="M133">
        <v>109</v>
      </c>
      <c r="N133">
        <v>695264.8496656206</v>
      </c>
      <c r="O133">
        <v>14213.540334379417</v>
      </c>
      <c r="Y133">
        <v>109</v>
      </c>
      <c r="Z133">
        <v>676054.94819606899</v>
      </c>
      <c r="AA133">
        <v>33423.441803931026</v>
      </c>
      <c r="AK133">
        <v>109</v>
      </c>
      <c r="AL133">
        <v>740232.04380541691</v>
      </c>
      <c r="AM133">
        <v>-30753.653805416892</v>
      </c>
      <c r="AW133">
        <v>109</v>
      </c>
      <c r="AX133">
        <v>648490.2538324804</v>
      </c>
      <c r="AY133">
        <v>60988.136167519609</v>
      </c>
      <c r="BI133">
        <v>109</v>
      </c>
      <c r="BJ133">
        <v>675890.5239499493</v>
      </c>
      <c r="BK133">
        <v>33587.86605005071</v>
      </c>
      <c r="BU133">
        <v>109</v>
      </c>
      <c r="BV133">
        <v>725037.1987272721</v>
      </c>
      <c r="BW133">
        <v>-15558.808727272088</v>
      </c>
      <c r="CG133">
        <v>109</v>
      </c>
      <c r="CH133">
        <v>681284.37160251639</v>
      </c>
      <c r="CI133">
        <v>28194.018397483625</v>
      </c>
    </row>
    <row r="134" spans="13:87">
      <c r="M134">
        <v>110</v>
      </c>
      <c r="N134">
        <v>642390.00761596742</v>
      </c>
      <c r="O134">
        <v>21772.48238403257</v>
      </c>
      <c r="Y134">
        <v>110</v>
      </c>
      <c r="Z134">
        <v>657326.33680935763</v>
      </c>
      <c r="AA134">
        <v>6836.1531906423625</v>
      </c>
      <c r="AK134">
        <v>110</v>
      </c>
      <c r="AL134">
        <v>621343.84248383646</v>
      </c>
      <c r="AM134">
        <v>42818.647516163532</v>
      </c>
      <c r="AW134">
        <v>110</v>
      </c>
      <c r="AX134">
        <v>676656.7194831667</v>
      </c>
      <c r="AY134">
        <v>-12494.22948316671</v>
      </c>
      <c r="BI134">
        <v>110</v>
      </c>
      <c r="BJ134">
        <v>675002.11769243912</v>
      </c>
      <c r="BK134">
        <v>-10839.627692439128</v>
      </c>
      <c r="BU134">
        <v>110</v>
      </c>
      <c r="BV134">
        <v>671411.86335849017</v>
      </c>
      <c r="BW134">
        <v>-7249.3733584901784</v>
      </c>
      <c r="CG134">
        <v>110</v>
      </c>
      <c r="CH134">
        <v>681284.37160251639</v>
      </c>
      <c r="CI134">
        <v>-17121.881602516398</v>
      </c>
    </row>
    <row r="135" spans="13:87">
      <c r="M135">
        <v>111</v>
      </c>
      <c r="N135">
        <v>649275.86761298706</v>
      </c>
      <c r="O135">
        <v>-15781.657612987095</v>
      </c>
      <c r="Y135">
        <v>111</v>
      </c>
      <c r="Z135">
        <v>685488.61911678291</v>
      </c>
      <c r="AA135">
        <v>-51994.409116782947</v>
      </c>
      <c r="AK135">
        <v>111</v>
      </c>
      <c r="AL135">
        <v>621343.84248383646</v>
      </c>
      <c r="AM135">
        <v>12150.367516163504</v>
      </c>
      <c r="AW135">
        <v>111</v>
      </c>
      <c r="AX135">
        <v>684197.34808256302</v>
      </c>
      <c r="AY135">
        <v>-50703.138082563062</v>
      </c>
      <c r="BI135">
        <v>111</v>
      </c>
      <c r="BJ135">
        <v>689138.22902517556</v>
      </c>
      <c r="BK135">
        <v>-55644.019025175599</v>
      </c>
      <c r="BU135">
        <v>111</v>
      </c>
      <c r="BV135">
        <v>671411.86335849017</v>
      </c>
      <c r="BW135">
        <v>-37917.653358490206</v>
      </c>
      <c r="CG135">
        <v>111</v>
      </c>
      <c r="CH135">
        <v>679170.42507551028</v>
      </c>
      <c r="CI135">
        <v>-45676.215075510321</v>
      </c>
    </row>
    <row r="136" spans="13:87">
      <c r="M136">
        <v>112</v>
      </c>
      <c r="N136">
        <v>591370.42318209168</v>
      </c>
      <c r="O136">
        <v>122240.73681790836</v>
      </c>
      <c r="Y136">
        <v>112</v>
      </c>
      <c r="Z136">
        <v>689927.99366770708</v>
      </c>
      <c r="AA136">
        <v>23683.166332292953</v>
      </c>
      <c r="AK136">
        <v>112</v>
      </c>
      <c r="AL136">
        <v>604359.81372361071</v>
      </c>
      <c r="AM136">
        <v>109251.34627638932</v>
      </c>
      <c r="AW136">
        <v>112</v>
      </c>
      <c r="AX136">
        <v>688189.44557636115</v>
      </c>
      <c r="AY136">
        <v>25421.714423638885</v>
      </c>
      <c r="BI136">
        <v>112</v>
      </c>
      <c r="BJ136">
        <v>690078.89447430405</v>
      </c>
      <c r="BK136">
        <v>23532.265525695984</v>
      </c>
      <c r="BU136">
        <v>112</v>
      </c>
      <c r="BV136">
        <v>671411.86335849017</v>
      </c>
      <c r="BW136">
        <v>42199.296641509864</v>
      </c>
      <c r="CG136">
        <v>112</v>
      </c>
      <c r="CH136">
        <v>682869.83149777097</v>
      </c>
      <c r="CI136">
        <v>30741.328502229066</v>
      </c>
    </row>
    <row r="137" spans="13:87">
      <c r="M137">
        <v>113</v>
      </c>
      <c r="N137">
        <v>766299.80953124771</v>
      </c>
      <c r="O137">
        <v>12098.160468752263</v>
      </c>
      <c r="Y137">
        <v>113</v>
      </c>
      <c r="Z137">
        <v>673835.2609206069</v>
      </c>
      <c r="AA137">
        <v>104562.70907939307</v>
      </c>
      <c r="AK137">
        <v>113</v>
      </c>
      <c r="AL137">
        <v>774200.1013258684</v>
      </c>
      <c r="AM137">
        <v>4197.868674131576</v>
      </c>
      <c r="AW137">
        <v>113</v>
      </c>
      <c r="AX137">
        <v>654256.61687907763</v>
      </c>
      <c r="AY137">
        <v>124141.35312092234</v>
      </c>
      <c r="BI137">
        <v>113</v>
      </c>
      <c r="BJ137">
        <v>689739.20972878544</v>
      </c>
      <c r="BK137">
        <v>88658.760271214531</v>
      </c>
      <c r="BU137">
        <v>113</v>
      </c>
      <c r="BV137">
        <v>671411.86335849017</v>
      </c>
      <c r="BW137">
        <v>106986.1066415098</v>
      </c>
      <c r="CG137">
        <v>113</v>
      </c>
      <c r="CH137">
        <v>684983.77802477707</v>
      </c>
      <c r="CI137">
        <v>93414.191975222901</v>
      </c>
    </row>
    <row r="138" spans="13:87">
      <c r="M138">
        <v>114</v>
      </c>
      <c r="N138">
        <v>784959.41978223878</v>
      </c>
      <c r="O138">
        <v>88420.600217761239</v>
      </c>
      <c r="Y138">
        <v>114</v>
      </c>
      <c r="Z138">
        <v>678135.90501681471</v>
      </c>
      <c r="AA138">
        <v>195244.11498318531</v>
      </c>
      <c r="AK138">
        <v>114</v>
      </c>
      <c r="AL138">
        <v>774200.1013258684</v>
      </c>
      <c r="AM138">
        <v>99179.918674131623</v>
      </c>
      <c r="AW138">
        <v>114</v>
      </c>
      <c r="AX138">
        <v>693955.80862295826</v>
      </c>
      <c r="AY138">
        <v>179424.21137704176</v>
      </c>
      <c r="BI138">
        <v>114</v>
      </c>
      <c r="BJ138">
        <v>685506.21520770725</v>
      </c>
      <c r="BK138">
        <v>187873.80479229277</v>
      </c>
      <c r="BU138">
        <v>114</v>
      </c>
      <c r="BV138">
        <v>671411.86335849017</v>
      </c>
      <c r="BW138">
        <v>201968.15664150985</v>
      </c>
      <c r="CG138">
        <v>114</v>
      </c>
      <c r="CH138">
        <v>682869.83149777097</v>
      </c>
      <c r="CI138">
        <v>190510.18850222905</v>
      </c>
    </row>
    <row r="139" spans="13:87">
      <c r="M139">
        <v>115</v>
      </c>
      <c r="N139">
        <v>775540.41957906168</v>
      </c>
      <c r="O139">
        <v>-78252.519579061656</v>
      </c>
      <c r="Y139">
        <v>115</v>
      </c>
      <c r="Z139">
        <v>675777.48728663626</v>
      </c>
      <c r="AA139">
        <v>21510.412713363767</v>
      </c>
      <c r="AK139">
        <v>115</v>
      </c>
      <c r="AL139">
        <v>791184.13008609414</v>
      </c>
      <c r="AM139">
        <v>-93896.230086094118</v>
      </c>
      <c r="AW139">
        <v>115</v>
      </c>
      <c r="AX139">
        <v>680870.60017106473</v>
      </c>
      <c r="AY139">
        <v>16417.299828935298</v>
      </c>
      <c r="BI139">
        <v>115</v>
      </c>
      <c r="BJ139">
        <v>677040.22616555088</v>
      </c>
      <c r="BK139">
        <v>20247.673834449146</v>
      </c>
      <c r="BU139">
        <v>115</v>
      </c>
      <c r="BV139">
        <v>671411.86335849017</v>
      </c>
      <c r="BW139">
        <v>25876.036641509854</v>
      </c>
      <c r="CG139">
        <v>115</v>
      </c>
      <c r="CH139">
        <v>686569.23792003165</v>
      </c>
      <c r="CI139">
        <v>10718.662079968373</v>
      </c>
    </row>
    <row r="140" spans="13:87">
      <c r="M140">
        <v>116</v>
      </c>
      <c r="N140">
        <v>776396.69232480507</v>
      </c>
      <c r="O140">
        <v>-58321.902324805036</v>
      </c>
      <c r="Y140">
        <v>116</v>
      </c>
      <c r="Z140">
        <v>678552.09638096381</v>
      </c>
      <c r="AA140">
        <v>39522.693619036232</v>
      </c>
      <c r="AK140">
        <v>116</v>
      </c>
      <c r="AL140">
        <v>791184.13008609414</v>
      </c>
      <c r="AM140">
        <v>-73109.340086094104</v>
      </c>
      <c r="AW140">
        <v>116</v>
      </c>
      <c r="AX140">
        <v>689963.71112916025</v>
      </c>
      <c r="AY140">
        <v>28111.078870839789</v>
      </c>
      <c r="BI140">
        <v>116</v>
      </c>
      <c r="BJ140">
        <v>675838.26475833112</v>
      </c>
      <c r="BK140">
        <v>42236.525241668918</v>
      </c>
      <c r="BU140">
        <v>116</v>
      </c>
      <c r="BV140">
        <v>671411.86335849017</v>
      </c>
      <c r="BW140">
        <v>46662.926641509868</v>
      </c>
      <c r="CG140">
        <v>116</v>
      </c>
      <c r="CH140">
        <v>683926.80476127402</v>
      </c>
      <c r="CI140">
        <v>34147.985238726018</v>
      </c>
    </row>
    <row r="141" spans="13:87">
      <c r="M141">
        <v>117</v>
      </c>
      <c r="N141">
        <v>725448.46395307453</v>
      </c>
      <c r="O141">
        <v>-10506.033953074482</v>
      </c>
      <c r="Y141">
        <v>117</v>
      </c>
      <c r="Z141">
        <v>671476.84319042845</v>
      </c>
      <c r="AA141">
        <v>43465.5868095716</v>
      </c>
      <c r="AK141">
        <v>117</v>
      </c>
      <c r="AL141">
        <v>689279.95752473956</v>
      </c>
      <c r="AM141">
        <v>25662.472475260496</v>
      </c>
      <c r="AW141">
        <v>117</v>
      </c>
      <c r="AX141">
        <v>686636.96321766183</v>
      </c>
      <c r="AY141">
        <v>28305.466782338219</v>
      </c>
      <c r="BI141">
        <v>117</v>
      </c>
      <c r="BJ141">
        <v>685976.5479322715</v>
      </c>
      <c r="BK141">
        <v>28965.882067728555</v>
      </c>
      <c r="BU141">
        <v>117</v>
      </c>
      <c r="BV141">
        <v>725037.1987272721</v>
      </c>
      <c r="BW141">
        <v>-10094.76872727205</v>
      </c>
      <c r="CG141">
        <v>117</v>
      </c>
      <c r="CH141">
        <v>676527.99191675265</v>
      </c>
      <c r="CI141">
        <v>38414.438083247398</v>
      </c>
    </row>
    <row r="142" spans="13:87">
      <c r="M142">
        <v>118</v>
      </c>
      <c r="N142">
        <v>747319.0970006031</v>
      </c>
      <c r="O142">
        <v>73199.942999396939</v>
      </c>
      <c r="Y142">
        <v>118</v>
      </c>
      <c r="Z142">
        <v>676887.3309243673</v>
      </c>
      <c r="AA142">
        <v>143631.70907563274</v>
      </c>
      <c r="AK142">
        <v>118</v>
      </c>
      <c r="AL142">
        <v>723248.01504519116</v>
      </c>
      <c r="AM142">
        <v>97271.024954808876</v>
      </c>
      <c r="AW142">
        <v>118</v>
      </c>
      <c r="AX142">
        <v>671333.92282476928</v>
      </c>
      <c r="AY142">
        <v>149185.11717523076</v>
      </c>
      <c r="BI142">
        <v>118</v>
      </c>
      <c r="BJ142">
        <v>688406.60034252005</v>
      </c>
      <c r="BK142">
        <v>132112.43965747999</v>
      </c>
      <c r="BU142">
        <v>118</v>
      </c>
      <c r="BV142">
        <v>671411.86335849017</v>
      </c>
      <c r="BW142">
        <v>149107.17664150987</v>
      </c>
      <c r="CG142">
        <v>118</v>
      </c>
      <c r="CH142">
        <v>676527.99191675265</v>
      </c>
      <c r="CI142">
        <v>143991.04808324738</v>
      </c>
    </row>
    <row r="143" spans="13:87">
      <c r="M143">
        <v>119</v>
      </c>
      <c r="N143">
        <v>750101.98342426901</v>
      </c>
      <c r="O143">
        <v>-65884.663424269063</v>
      </c>
      <c r="Y143">
        <v>119</v>
      </c>
      <c r="Z143">
        <v>679384.47910926212</v>
      </c>
      <c r="AA143">
        <v>4832.8408907378325</v>
      </c>
      <c r="AK143">
        <v>119</v>
      </c>
      <c r="AL143">
        <v>706263.98628496542</v>
      </c>
      <c r="AM143">
        <v>-22046.666284965468</v>
      </c>
      <c r="AW143">
        <v>119</v>
      </c>
      <c r="AX143">
        <v>699500.38847545558</v>
      </c>
      <c r="AY143">
        <v>-15283.068475455628</v>
      </c>
      <c r="BI143">
        <v>119</v>
      </c>
      <c r="BJ143">
        <v>653419.07155410212</v>
      </c>
      <c r="BK143">
        <v>30798.248445897829</v>
      </c>
      <c r="BU143">
        <v>119</v>
      </c>
      <c r="BV143">
        <v>671411.86335849017</v>
      </c>
      <c r="BW143">
        <v>12805.45664150978</v>
      </c>
      <c r="CG143">
        <v>119</v>
      </c>
      <c r="CH143">
        <v>677056.47854850418</v>
      </c>
      <c r="CI143">
        <v>7160.8414514957694</v>
      </c>
    </row>
    <row r="144" spans="13:87">
      <c r="M144">
        <v>120</v>
      </c>
      <c r="N144">
        <v>725270.07379771117</v>
      </c>
      <c r="O144">
        <v>10210.116202288773</v>
      </c>
      <c r="Y144">
        <v>120</v>
      </c>
      <c r="Z144">
        <v>665650.16409234039</v>
      </c>
      <c r="AA144">
        <v>69830.025907659554</v>
      </c>
      <c r="AK144">
        <v>120</v>
      </c>
      <c r="AL144">
        <v>723248.01504519116</v>
      </c>
      <c r="AM144">
        <v>12232.174954808783</v>
      </c>
      <c r="AW144">
        <v>120</v>
      </c>
      <c r="AX144">
        <v>697060.77334035677</v>
      </c>
      <c r="AY144">
        <v>38419.416659643175</v>
      </c>
      <c r="BI144">
        <v>120</v>
      </c>
      <c r="BJ144">
        <v>671971.08457858069</v>
      </c>
      <c r="BK144">
        <v>63509.105421419255</v>
      </c>
      <c r="BU144">
        <v>120</v>
      </c>
      <c r="BV144">
        <v>671411.86335849017</v>
      </c>
      <c r="BW144">
        <v>64068.326641509775</v>
      </c>
      <c r="CG144">
        <v>120</v>
      </c>
      <c r="CH144">
        <v>676527.99191675265</v>
      </c>
      <c r="CI144">
        <v>58952.198083247291</v>
      </c>
    </row>
    <row r="145" spans="13:87">
      <c r="M145">
        <v>121</v>
      </c>
      <c r="N145">
        <v>583878.0366568371</v>
      </c>
      <c r="O145">
        <v>-74393.226656837098</v>
      </c>
      <c r="Y145">
        <v>121</v>
      </c>
      <c r="Z145">
        <v>685627.34957149928</v>
      </c>
      <c r="AA145">
        <v>-176142.53957149928</v>
      </c>
      <c r="AK145">
        <v>121</v>
      </c>
      <c r="AL145">
        <v>621343.84248383646</v>
      </c>
      <c r="AM145">
        <v>-111859.03248383646</v>
      </c>
      <c r="AW145">
        <v>121</v>
      </c>
      <c r="AX145">
        <v>668894.30768967047</v>
      </c>
      <c r="AY145">
        <v>-159409.49768967048</v>
      </c>
      <c r="BI145">
        <v>121</v>
      </c>
      <c r="BJ145">
        <v>674714.6921385387</v>
      </c>
      <c r="BK145">
        <v>-165229.8821385387</v>
      </c>
      <c r="BU145">
        <v>121</v>
      </c>
      <c r="BV145">
        <v>671411.86335849017</v>
      </c>
      <c r="BW145">
        <v>-161927.05335849017</v>
      </c>
      <c r="CG145">
        <v>121</v>
      </c>
      <c r="CH145">
        <v>678113.45181200723</v>
      </c>
      <c r="CI145">
        <v>-168628.64181200723</v>
      </c>
    </row>
    <row r="146" spans="13:87">
      <c r="M146">
        <v>122</v>
      </c>
      <c r="N146">
        <v>578205.22971628723</v>
      </c>
      <c r="O146">
        <v>76111.86028371274</v>
      </c>
      <c r="Y146">
        <v>122</v>
      </c>
      <c r="Z146">
        <v>697835.62958654074</v>
      </c>
      <c r="AA146">
        <v>-43518.539586540777</v>
      </c>
      <c r="AK146">
        <v>122</v>
      </c>
      <c r="AL146">
        <v>638327.87124406232</v>
      </c>
      <c r="AM146">
        <v>15989.218755937647</v>
      </c>
      <c r="AW146">
        <v>122</v>
      </c>
      <c r="AX146">
        <v>683088.43211206351</v>
      </c>
      <c r="AY146">
        <v>-28771.342112063547</v>
      </c>
      <c r="BI146">
        <v>122</v>
      </c>
      <c r="BJ146">
        <v>686734.30621073616</v>
      </c>
      <c r="BK146">
        <v>-32417.216210736195</v>
      </c>
      <c r="BU146">
        <v>122</v>
      </c>
      <c r="BV146">
        <v>671411.86335849017</v>
      </c>
      <c r="BW146">
        <v>-17094.773358490202</v>
      </c>
      <c r="CG146">
        <v>122</v>
      </c>
      <c r="CH146">
        <v>681812.85823426791</v>
      </c>
      <c r="CI146">
        <v>-27495.768234267947</v>
      </c>
    </row>
    <row r="147" spans="13:87">
      <c r="M147">
        <v>123</v>
      </c>
      <c r="N147">
        <v>604214.51436824212</v>
      </c>
      <c r="O147">
        <v>-46727.254368242109</v>
      </c>
      <c r="Y147">
        <v>123</v>
      </c>
      <c r="Z147">
        <v>688263.22821111046</v>
      </c>
      <c r="AA147">
        <v>-130775.96821111045</v>
      </c>
      <c r="AK147">
        <v>123</v>
      </c>
      <c r="AL147">
        <v>655311.90000428807</v>
      </c>
      <c r="AM147">
        <v>-97824.640004288056</v>
      </c>
      <c r="AW147">
        <v>123</v>
      </c>
      <c r="AX147">
        <v>674882.4539303676</v>
      </c>
      <c r="AY147">
        <v>-117395.19393036759</v>
      </c>
      <c r="BI147">
        <v>123</v>
      </c>
      <c r="BJ147">
        <v>687570.45327662816</v>
      </c>
      <c r="BK147">
        <v>-130083.19327662815</v>
      </c>
      <c r="BU147">
        <v>123</v>
      </c>
      <c r="BV147">
        <v>671411.86335849017</v>
      </c>
      <c r="BW147">
        <v>-113924.60335849016</v>
      </c>
      <c r="CG147">
        <v>123</v>
      </c>
      <c r="CH147">
        <v>680755.88497076486</v>
      </c>
      <c r="CI147">
        <v>-123268.62497076485</v>
      </c>
    </row>
    <row r="148" spans="13:87">
      <c r="M148">
        <v>124</v>
      </c>
      <c r="N148">
        <v>514412.91015840613</v>
      </c>
      <c r="O148">
        <v>-73137.490158406144</v>
      </c>
      <c r="Y148">
        <v>124</v>
      </c>
      <c r="Z148">
        <v>667869.85136780248</v>
      </c>
      <c r="AA148">
        <v>-226594.43136780249</v>
      </c>
      <c r="AK148">
        <v>124</v>
      </c>
      <c r="AL148">
        <v>570391.75620315922</v>
      </c>
      <c r="AM148">
        <v>-129116.33620315924</v>
      </c>
      <c r="AW148">
        <v>124</v>
      </c>
      <c r="AX148">
        <v>701718.22041645448</v>
      </c>
      <c r="AY148">
        <v>-260442.8004164545</v>
      </c>
      <c r="BI148">
        <v>124</v>
      </c>
      <c r="BJ148">
        <v>651224.18550613557</v>
      </c>
      <c r="BK148">
        <v>-209948.76550613559</v>
      </c>
      <c r="BU148">
        <v>124</v>
      </c>
      <c r="BV148">
        <v>671411.86335849017</v>
      </c>
      <c r="BW148">
        <v>-230136.44335849019</v>
      </c>
      <c r="CG148">
        <v>124</v>
      </c>
      <c r="CH148">
        <v>678113.45181200723</v>
      </c>
      <c r="CI148">
        <v>-236838.03181200725</v>
      </c>
    </row>
    <row r="149" spans="13:87">
      <c r="M149">
        <v>125</v>
      </c>
      <c r="N149">
        <v>817319.39396512369</v>
      </c>
      <c r="O149">
        <v>97224.776034876355</v>
      </c>
      <c r="Y149">
        <v>125</v>
      </c>
      <c r="Z149">
        <v>680771.78365642589</v>
      </c>
      <c r="AA149">
        <v>233772.38634357415</v>
      </c>
      <c r="AK149">
        <v>125</v>
      </c>
      <c r="AL149">
        <v>825152.18760654563</v>
      </c>
      <c r="AM149">
        <v>89391.982393454411</v>
      </c>
      <c r="AW149">
        <v>125</v>
      </c>
      <c r="AX149">
        <v>680205.2505887649</v>
      </c>
      <c r="AY149">
        <v>234338.91941123514</v>
      </c>
      <c r="BI149">
        <v>125</v>
      </c>
      <c r="BJ149">
        <v>686368.4918694084</v>
      </c>
      <c r="BK149">
        <v>228175.67813059164</v>
      </c>
      <c r="BU149">
        <v>125</v>
      </c>
      <c r="BV149">
        <v>725037.1987272721</v>
      </c>
      <c r="BW149">
        <v>189506.97127272794</v>
      </c>
      <c r="CG149">
        <v>125</v>
      </c>
      <c r="CH149">
        <v>675999.50528500113</v>
      </c>
      <c r="CI149">
        <v>238544.66471499891</v>
      </c>
    </row>
    <row r="150" spans="13:87">
      <c r="M150">
        <v>126</v>
      </c>
      <c r="N150">
        <v>841580.45509451907</v>
      </c>
      <c r="O150">
        <v>859.21490548097063</v>
      </c>
      <c r="Y150">
        <v>126</v>
      </c>
      <c r="Z150">
        <v>673419.06955645769</v>
      </c>
      <c r="AA150">
        <v>169020.60044354235</v>
      </c>
      <c r="AK150">
        <v>126</v>
      </c>
      <c r="AL150">
        <v>859120.24512699712</v>
      </c>
      <c r="AM150">
        <v>-16680.575126997079</v>
      </c>
      <c r="AW150">
        <v>126</v>
      </c>
      <c r="AX150">
        <v>702827.13638695399</v>
      </c>
      <c r="AY150">
        <v>139612.53361304605</v>
      </c>
      <c r="BI150">
        <v>126</v>
      </c>
      <c r="BJ150">
        <v>691071.81911505084</v>
      </c>
      <c r="BK150">
        <v>151367.85088494921</v>
      </c>
      <c r="BU150">
        <v>126</v>
      </c>
      <c r="BV150">
        <v>671411.86335849017</v>
      </c>
      <c r="BW150">
        <v>171027.80664150987</v>
      </c>
      <c r="CG150">
        <v>126</v>
      </c>
      <c r="CH150">
        <v>678113.45181200723</v>
      </c>
      <c r="CI150">
        <v>164326.21818799281</v>
      </c>
    </row>
    <row r="151" spans="13:87">
      <c r="M151">
        <v>127</v>
      </c>
      <c r="N151">
        <v>787992.05242341314</v>
      </c>
      <c r="O151">
        <v>54165.867576586897</v>
      </c>
      <c r="Y151">
        <v>127</v>
      </c>
      <c r="Z151">
        <v>669534.6168243991</v>
      </c>
      <c r="AA151">
        <v>172623.30317560094</v>
      </c>
      <c r="AK151">
        <v>127</v>
      </c>
      <c r="AL151">
        <v>740232.04380541691</v>
      </c>
      <c r="AM151">
        <v>101925.87619458314</v>
      </c>
      <c r="AW151">
        <v>127</v>
      </c>
      <c r="AX151">
        <v>680427.03378286492</v>
      </c>
      <c r="AY151">
        <v>161730.88621713512</v>
      </c>
      <c r="BI151">
        <v>127</v>
      </c>
      <c r="BJ151">
        <v>678451.22433924361</v>
      </c>
      <c r="BK151">
        <v>163706.69566075644</v>
      </c>
      <c r="BU151">
        <v>127</v>
      </c>
      <c r="BV151">
        <v>725037.1987272721</v>
      </c>
      <c r="BW151">
        <v>117120.72127272794</v>
      </c>
      <c r="CG151">
        <v>127</v>
      </c>
      <c r="CH151">
        <v>675471.0186532496</v>
      </c>
      <c r="CI151">
        <v>166686.90134675044</v>
      </c>
    </row>
    <row r="152" spans="13:87">
      <c r="M152">
        <v>128</v>
      </c>
      <c r="N152">
        <v>739719.67638213071</v>
      </c>
      <c r="O152">
        <v>-42564.376382130664</v>
      </c>
      <c r="Y152">
        <v>128</v>
      </c>
      <c r="Z152">
        <v>684517.50593376823</v>
      </c>
      <c r="AA152">
        <v>12637.794066231814</v>
      </c>
      <c r="AK152">
        <v>128</v>
      </c>
      <c r="AL152">
        <v>723248.01504519116</v>
      </c>
      <c r="AM152">
        <v>-26092.715045191115</v>
      </c>
      <c r="AW152">
        <v>128</v>
      </c>
      <c r="AX152">
        <v>665567.55977817206</v>
      </c>
      <c r="AY152">
        <v>31587.740221827989</v>
      </c>
      <c r="BI152">
        <v>128</v>
      </c>
      <c r="BJ152">
        <v>684147.47622563282</v>
      </c>
      <c r="BK152">
        <v>13007.823774367222</v>
      </c>
      <c r="BU152">
        <v>128</v>
      </c>
      <c r="BV152">
        <v>671411.86335849017</v>
      </c>
      <c r="BW152">
        <v>25743.436641509878</v>
      </c>
      <c r="CG152">
        <v>128</v>
      </c>
      <c r="CH152">
        <v>675999.50528500113</v>
      </c>
      <c r="CI152">
        <v>21155.79471499892</v>
      </c>
    </row>
    <row r="153" spans="13:87">
      <c r="M153">
        <v>129</v>
      </c>
      <c r="N153">
        <v>825239.91686324985</v>
      </c>
      <c r="O153">
        <v>23778.383136750199</v>
      </c>
      <c r="Y153">
        <v>129</v>
      </c>
      <c r="Z153">
        <v>678135.90501681471</v>
      </c>
      <c r="AA153">
        <v>170882.39498318534</v>
      </c>
      <c r="AK153">
        <v>129</v>
      </c>
      <c r="AL153">
        <v>859120.24512699712</v>
      </c>
      <c r="AM153">
        <v>-10101.945126997074</v>
      </c>
      <c r="AW153">
        <v>129</v>
      </c>
      <c r="AX153">
        <v>680648.81697696471</v>
      </c>
      <c r="AY153">
        <v>168369.48302303534</v>
      </c>
      <c r="BI153">
        <v>129</v>
      </c>
      <c r="BJ153">
        <v>689608.56174973981</v>
      </c>
      <c r="BK153">
        <v>159409.73825026024</v>
      </c>
      <c r="BU153">
        <v>129</v>
      </c>
      <c r="BV153">
        <v>725037.1987272721</v>
      </c>
      <c r="BW153">
        <v>123981.10127272794</v>
      </c>
      <c r="CG153">
        <v>129</v>
      </c>
      <c r="CH153">
        <v>678113.45181200723</v>
      </c>
      <c r="CI153">
        <v>170904.84818799281</v>
      </c>
    </row>
    <row r="154" spans="13:87">
      <c r="M154">
        <v>130</v>
      </c>
      <c r="N154">
        <v>824455.00017965166</v>
      </c>
      <c r="O154">
        <v>-22624.650179651682</v>
      </c>
      <c r="Y154">
        <v>130</v>
      </c>
      <c r="Z154">
        <v>669118.42546024988</v>
      </c>
      <c r="AA154">
        <v>132711.92453975009</v>
      </c>
      <c r="AK154">
        <v>130</v>
      </c>
      <c r="AL154">
        <v>825152.18760654563</v>
      </c>
      <c r="AM154">
        <v>-23321.837606545654</v>
      </c>
      <c r="AW154">
        <v>130</v>
      </c>
      <c r="AX154">
        <v>664902.21019587247</v>
      </c>
      <c r="AY154">
        <v>136928.13980412751</v>
      </c>
      <c r="BI154">
        <v>130</v>
      </c>
      <c r="BJ154">
        <v>691934.09577675199</v>
      </c>
      <c r="BK154">
        <v>109896.25422324799</v>
      </c>
      <c r="BU154">
        <v>130</v>
      </c>
      <c r="BV154">
        <v>671411.86335849017</v>
      </c>
      <c r="BW154">
        <v>130418.48664150981</v>
      </c>
      <c r="CG154">
        <v>130</v>
      </c>
      <c r="CH154">
        <v>680227.39833901334</v>
      </c>
      <c r="CI154">
        <v>121602.95166098664</v>
      </c>
    </row>
    <row r="155" spans="13:87">
      <c r="M155">
        <v>131</v>
      </c>
      <c r="N155">
        <v>789597.56382168201</v>
      </c>
      <c r="O155">
        <v>-64362.28382168198</v>
      </c>
      <c r="Y155">
        <v>131</v>
      </c>
      <c r="Z155">
        <v>677858.44410738198</v>
      </c>
      <c r="AA155">
        <v>47376.835892618052</v>
      </c>
      <c r="AK155">
        <v>131</v>
      </c>
      <c r="AL155">
        <v>723248.01504519116</v>
      </c>
      <c r="AM155">
        <v>1987.2649548088666</v>
      </c>
      <c r="AW155">
        <v>131</v>
      </c>
      <c r="AX155">
        <v>692846.89265245874</v>
      </c>
      <c r="AY155">
        <v>32388.387347541284</v>
      </c>
      <c r="BI155">
        <v>131</v>
      </c>
      <c r="BJ155">
        <v>679104.46423447167</v>
      </c>
      <c r="BK155">
        <v>46130.815765528358</v>
      </c>
      <c r="BU155">
        <v>131</v>
      </c>
      <c r="BV155">
        <v>725037.1987272721</v>
      </c>
      <c r="BW155">
        <v>198.08127272792626</v>
      </c>
      <c r="CG155">
        <v>131</v>
      </c>
      <c r="CH155">
        <v>677584.96518025571</v>
      </c>
      <c r="CI155">
        <v>47650.314819744322</v>
      </c>
    </row>
    <row r="156" spans="13:87">
      <c r="M156">
        <v>132</v>
      </c>
      <c r="N156">
        <v>833017.72763708537</v>
      </c>
      <c r="O156">
        <v>-21565.007637085393</v>
      </c>
      <c r="Y156">
        <v>132</v>
      </c>
      <c r="Z156">
        <v>685488.61911678291</v>
      </c>
      <c r="AA156">
        <v>125964.10088321706</v>
      </c>
      <c r="AK156">
        <v>132</v>
      </c>
      <c r="AL156">
        <v>825152.18760654563</v>
      </c>
      <c r="AM156">
        <v>-13699.467606545659</v>
      </c>
      <c r="AW156">
        <v>132</v>
      </c>
      <c r="AX156">
        <v>673329.97157166828</v>
      </c>
      <c r="AY156">
        <v>138122.74842833169</v>
      </c>
      <c r="BI156">
        <v>132</v>
      </c>
      <c r="BJ156">
        <v>666954.20218322868</v>
      </c>
      <c r="BK156">
        <v>144498.51781677129</v>
      </c>
      <c r="BU156">
        <v>132</v>
      </c>
      <c r="BV156">
        <v>671411.86335849017</v>
      </c>
      <c r="BW156">
        <v>140040.8566415098</v>
      </c>
      <c r="CG156">
        <v>132</v>
      </c>
      <c r="CH156">
        <v>677584.96518025571</v>
      </c>
      <c r="CI156">
        <v>133867.75481974427</v>
      </c>
    </row>
    <row r="157" spans="13:87">
      <c r="M157">
        <v>133</v>
      </c>
      <c r="N157">
        <v>554978.83148799837</v>
      </c>
      <c r="O157">
        <v>-27678.701487998362</v>
      </c>
      <c r="Y157">
        <v>133</v>
      </c>
      <c r="Z157">
        <v>686875.92366394668</v>
      </c>
      <c r="AA157">
        <v>-159575.79366394668</v>
      </c>
      <c r="AK157">
        <v>133</v>
      </c>
      <c r="AL157">
        <v>553407.72744293348</v>
      </c>
      <c r="AM157">
        <v>-26107.597442933475</v>
      </c>
      <c r="AW157">
        <v>133</v>
      </c>
      <c r="AX157">
        <v>679761.68420056521</v>
      </c>
      <c r="AY157">
        <v>-152461.55420056521</v>
      </c>
      <c r="BI157">
        <v>133</v>
      </c>
      <c r="BJ157">
        <v>682631.95966870349</v>
      </c>
      <c r="BK157">
        <v>-155331.82966870349</v>
      </c>
      <c r="BU157">
        <v>133</v>
      </c>
      <c r="BV157">
        <v>671411.86335849017</v>
      </c>
      <c r="BW157">
        <v>-144111.73335849016</v>
      </c>
      <c r="CG157">
        <v>133</v>
      </c>
      <c r="CH157">
        <v>678113.45181200723</v>
      </c>
      <c r="CI157">
        <v>-150813.32181200723</v>
      </c>
    </row>
    <row r="158" spans="13:87">
      <c r="M158">
        <v>134</v>
      </c>
      <c r="N158">
        <v>511130.53129972325</v>
      </c>
      <c r="O158">
        <v>-110298.88129972323</v>
      </c>
      <c r="Y158">
        <v>134</v>
      </c>
      <c r="Z158">
        <v>670644.46046213014</v>
      </c>
      <c r="AA158">
        <v>-269812.81046213012</v>
      </c>
      <c r="AK158">
        <v>134</v>
      </c>
      <c r="AL158">
        <v>536423.69868270773</v>
      </c>
      <c r="AM158">
        <v>-135592.04868270771</v>
      </c>
      <c r="AW158">
        <v>134</v>
      </c>
      <c r="AX158">
        <v>664680.42700177245</v>
      </c>
      <c r="AY158">
        <v>-263848.77700177243</v>
      </c>
      <c r="BI158">
        <v>134</v>
      </c>
      <c r="BJ158">
        <v>690444.70881563181</v>
      </c>
      <c r="BK158">
        <v>-289613.05881563178</v>
      </c>
      <c r="BU158">
        <v>134</v>
      </c>
      <c r="BV158">
        <v>671411.86335849017</v>
      </c>
      <c r="BW158">
        <v>-270580.21335849015</v>
      </c>
      <c r="CG158">
        <v>134</v>
      </c>
      <c r="CH158">
        <v>680755.88497076486</v>
      </c>
      <c r="CI158">
        <v>-279924.23497076484</v>
      </c>
    </row>
    <row r="159" spans="13:87">
      <c r="M159">
        <v>135</v>
      </c>
      <c r="N159">
        <v>575493.69935476664</v>
      </c>
      <c r="O159">
        <v>17753.550645233365</v>
      </c>
      <c r="Y159">
        <v>135</v>
      </c>
      <c r="Z159">
        <v>685904.81048093201</v>
      </c>
      <c r="AA159">
        <v>-92657.560480932007</v>
      </c>
      <c r="AK159">
        <v>135</v>
      </c>
      <c r="AL159">
        <v>587375.78496338497</v>
      </c>
      <c r="AM159">
        <v>5871.4650366150308</v>
      </c>
      <c r="AW159">
        <v>135</v>
      </c>
      <c r="AX159">
        <v>696838.99014625687</v>
      </c>
      <c r="AY159">
        <v>-103591.74014625687</v>
      </c>
      <c r="BI159">
        <v>135</v>
      </c>
      <c r="BJ159">
        <v>678973.81625542603</v>
      </c>
      <c r="BK159">
        <v>-85726.566255426034</v>
      </c>
      <c r="BU159">
        <v>135</v>
      </c>
      <c r="BV159">
        <v>725037.1987272721</v>
      </c>
      <c r="BW159">
        <v>-131789.9487272721</v>
      </c>
      <c r="CG159">
        <v>135</v>
      </c>
      <c r="CH159">
        <v>678113.45181200723</v>
      </c>
      <c r="CI159">
        <v>-84866.201812007232</v>
      </c>
    </row>
    <row r="160" spans="13:87">
      <c r="M160">
        <v>136</v>
      </c>
      <c r="N160">
        <v>516446.55792954669</v>
      </c>
      <c r="O160">
        <v>12629.392070453265</v>
      </c>
      <c r="Y160">
        <v>136</v>
      </c>
      <c r="Z160">
        <v>672586.68682815949</v>
      </c>
      <c r="AA160">
        <v>-143510.73682815954</v>
      </c>
      <c r="AK160">
        <v>136</v>
      </c>
      <c r="AL160">
        <v>536423.69868270773</v>
      </c>
      <c r="AM160">
        <v>-7347.748682707781</v>
      </c>
      <c r="AW160">
        <v>136</v>
      </c>
      <c r="AX160">
        <v>683975.56488846312</v>
      </c>
      <c r="AY160">
        <v>-154899.61488846317</v>
      </c>
      <c r="BI160">
        <v>136</v>
      </c>
      <c r="BJ160">
        <v>684121.34662982367</v>
      </c>
      <c r="BK160">
        <v>-155045.39662982372</v>
      </c>
      <c r="BU160">
        <v>136</v>
      </c>
      <c r="BV160">
        <v>671411.86335849017</v>
      </c>
      <c r="BW160">
        <v>-142335.91335849022</v>
      </c>
      <c r="CG160">
        <v>136</v>
      </c>
      <c r="CH160">
        <v>677056.47854850418</v>
      </c>
      <c r="CI160">
        <v>-147980.52854850423</v>
      </c>
    </row>
    <row r="161" spans="13:87">
      <c r="M161">
        <v>137</v>
      </c>
      <c r="N161">
        <v>727838.89203494135</v>
      </c>
      <c r="O161">
        <v>-94200.862034941325</v>
      </c>
      <c r="Y161">
        <v>137</v>
      </c>
      <c r="Z161">
        <v>691176.56776015449</v>
      </c>
      <c r="AA161">
        <v>-57538.537760154461</v>
      </c>
      <c r="AK161">
        <v>137</v>
      </c>
      <c r="AL161">
        <v>740232.04380541691</v>
      </c>
      <c r="AM161">
        <v>-106594.01380541688</v>
      </c>
      <c r="AW161">
        <v>137</v>
      </c>
      <c r="AX161">
        <v>658026.93117877573</v>
      </c>
      <c r="AY161">
        <v>-24388.901178775704</v>
      </c>
      <c r="BI161">
        <v>137</v>
      </c>
      <c r="BJ161">
        <v>683598.75471364113</v>
      </c>
      <c r="BK161">
        <v>-49960.724713641102</v>
      </c>
      <c r="BU161">
        <v>137</v>
      </c>
      <c r="BV161">
        <v>671411.86335849017</v>
      </c>
      <c r="BW161">
        <v>-37773.833358490141</v>
      </c>
      <c r="CG161">
        <v>137</v>
      </c>
      <c r="CH161">
        <v>680755.88497076486</v>
      </c>
      <c r="CI161">
        <v>-47117.854970764834</v>
      </c>
    </row>
    <row r="162" spans="13:87">
      <c r="M162">
        <v>138</v>
      </c>
      <c r="N162">
        <v>669184.2089515205</v>
      </c>
      <c r="O162">
        <v>74164.631048479467</v>
      </c>
      <c r="Y162">
        <v>138</v>
      </c>
      <c r="Z162">
        <v>686875.92366394668</v>
      </c>
      <c r="AA162">
        <v>56472.916336053284</v>
      </c>
      <c r="AK162">
        <v>138</v>
      </c>
      <c r="AL162">
        <v>655311.90000428807</v>
      </c>
      <c r="AM162">
        <v>88036.939995711902</v>
      </c>
      <c r="AW162">
        <v>138</v>
      </c>
      <c r="AX162">
        <v>698391.47250495607</v>
      </c>
      <c r="AY162">
        <v>44957.367495043902</v>
      </c>
      <c r="BI162">
        <v>138</v>
      </c>
      <c r="BJ162">
        <v>673199.17558160948</v>
      </c>
      <c r="BK162">
        <v>70149.664418390486</v>
      </c>
      <c r="BU162">
        <v>138</v>
      </c>
      <c r="BV162">
        <v>671411.86335849017</v>
      </c>
      <c r="BW162">
        <v>71936.976641509798</v>
      </c>
      <c r="CG162">
        <v>138</v>
      </c>
      <c r="CH162">
        <v>681812.85823426791</v>
      </c>
      <c r="CI162">
        <v>61535.981765732053</v>
      </c>
    </row>
    <row r="163" spans="13:87">
      <c r="M163">
        <v>139</v>
      </c>
      <c r="N163">
        <v>679887.61827331258</v>
      </c>
      <c r="O163">
        <v>78940.021726687439</v>
      </c>
      <c r="Y163">
        <v>139</v>
      </c>
      <c r="Z163">
        <v>676748.60046965093</v>
      </c>
      <c r="AA163">
        <v>82079.03953034908</v>
      </c>
      <c r="AK163">
        <v>139</v>
      </c>
      <c r="AL163">
        <v>706263.98628496542</v>
      </c>
      <c r="AM163">
        <v>52563.653715034598</v>
      </c>
      <c r="AW163">
        <v>139</v>
      </c>
      <c r="AX163">
        <v>684862.69766486273</v>
      </c>
      <c r="AY163">
        <v>73964.942335137282</v>
      </c>
      <c r="BI163">
        <v>139</v>
      </c>
      <c r="BJ163">
        <v>690261.80164496799</v>
      </c>
      <c r="BK163">
        <v>68565.838355032029</v>
      </c>
      <c r="BU163">
        <v>139</v>
      </c>
      <c r="BV163">
        <v>725037.1987272721</v>
      </c>
      <c r="BW163">
        <v>33790.441272727912</v>
      </c>
      <c r="CG163">
        <v>139</v>
      </c>
      <c r="CH163">
        <v>683926.80476127402</v>
      </c>
      <c r="CI163">
        <v>74900.835238725995</v>
      </c>
    </row>
    <row r="164" spans="13:87">
      <c r="M164">
        <v>140</v>
      </c>
      <c r="N164">
        <v>641391.0227459335</v>
      </c>
      <c r="O164">
        <v>5168.6872540664626</v>
      </c>
      <c r="Y164">
        <v>140</v>
      </c>
      <c r="Z164">
        <v>671893.03455457755</v>
      </c>
      <c r="AA164">
        <v>-25333.324554577586</v>
      </c>
      <c r="AK164">
        <v>140</v>
      </c>
      <c r="AL164">
        <v>604359.81372361071</v>
      </c>
      <c r="AM164">
        <v>42199.896276389249</v>
      </c>
      <c r="AW164">
        <v>140</v>
      </c>
      <c r="AX164">
        <v>684419.13127666293</v>
      </c>
      <c r="AY164">
        <v>-37859.421276662964</v>
      </c>
      <c r="BI164">
        <v>140</v>
      </c>
      <c r="BJ164">
        <v>684931.36409990652</v>
      </c>
      <c r="BK164">
        <v>-38371.654099906562</v>
      </c>
      <c r="BU164">
        <v>140</v>
      </c>
      <c r="BV164">
        <v>671411.86335849017</v>
      </c>
      <c r="BW164">
        <v>-24852.153358490206</v>
      </c>
      <c r="CG164">
        <v>140</v>
      </c>
      <c r="CH164">
        <v>682341.34486601944</v>
      </c>
      <c r="CI164">
        <v>-35781.634866019478</v>
      </c>
    </row>
    <row r="165" spans="13:87">
      <c r="M165">
        <v>141</v>
      </c>
      <c r="N165">
        <v>675713.28863781365</v>
      </c>
      <c r="O165">
        <v>40177.241362186382</v>
      </c>
      <c r="Y165">
        <v>141</v>
      </c>
      <c r="Z165">
        <v>665372.70318290766</v>
      </c>
      <c r="AA165">
        <v>50517.826817092369</v>
      </c>
      <c r="AK165">
        <v>141</v>
      </c>
      <c r="AL165">
        <v>638327.87124406232</v>
      </c>
      <c r="AM165">
        <v>77562.658755937708</v>
      </c>
      <c r="AW165">
        <v>141</v>
      </c>
      <c r="AX165">
        <v>681757.73294746422</v>
      </c>
      <c r="AY165">
        <v>34132.797052535811</v>
      </c>
      <c r="BI165">
        <v>141</v>
      </c>
      <c r="BJ165">
        <v>690470.83841144096</v>
      </c>
      <c r="BK165">
        <v>25419.691588559072</v>
      </c>
      <c r="BU165">
        <v>141</v>
      </c>
      <c r="BV165">
        <v>671411.86335849017</v>
      </c>
      <c r="BW165">
        <v>44478.666641509859</v>
      </c>
      <c r="CG165">
        <v>141</v>
      </c>
      <c r="CH165">
        <v>679698.91170726181</v>
      </c>
      <c r="CI165">
        <v>36191.618292738218</v>
      </c>
    </row>
    <row r="166" spans="13:87">
      <c r="M166">
        <v>142</v>
      </c>
      <c r="N166">
        <v>685596.10324493505</v>
      </c>
      <c r="O166">
        <v>29501.466755064903</v>
      </c>
      <c r="Y166">
        <v>142</v>
      </c>
      <c r="Z166">
        <v>692563.87230731826</v>
      </c>
      <c r="AA166">
        <v>22533.697692681686</v>
      </c>
      <c r="AK166">
        <v>142</v>
      </c>
      <c r="AL166">
        <v>655311.90000428807</v>
      </c>
      <c r="AM166">
        <v>59785.669995711884</v>
      </c>
      <c r="AW166">
        <v>142</v>
      </c>
      <c r="AX166">
        <v>693734.02542885835</v>
      </c>
      <c r="AY166">
        <v>21363.544571141596</v>
      </c>
      <c r="BI166">
        <v>142</v>
      </c>
      <c r="BJ166">
        <v>684852.97531247919</v>
      </c>
      <c r="BK166">
        <v>30244.594687520759</v>
      </c>
      <c r="BU166">
        <v>142</v>
      </c>
      <c r="BV166">
        <v>671411.86335849017</v>
      </c>
      <c r="BW166">
        <v>43685.70664150978</v>
      </c>
      <c r="CG166">
        <v>142</v>
      </c>
      <c r="CH166">
        <v>679170.42507551028</v>
      </c>
      <c r="CI166">
        <v>35927.144924489665</v>
      </c>
    </row>
    <row r="167" spans="13:87">
      <c r="M167">
        <v>143</v>
      </c>
      <c r="N167">
        <v>647813.06833900884</v>
      </c>
      <c r="O167">
        <v>34826.21166099119</v>
      </c>
      <c r="Y167">
        <v>143</v>
      </c>
      <c r="Z167">
        <v>688263.22821111046</v>
      </c>
      <c r="AA167">
        <v>-5623.9482111104298</v>
      </c>
      <c r="AK167">
        <v>143</v>
      </c>
      <c r="AL167">
        <v>706263.98628496542</v>
      </c>
      <c r="AM167">
        <v>-23624.706284965388</v>
      </c>
      <c r="AW167">
        <v>143</v>
      </c>
      <c r="AX167">
        <v>681092.38336516451</v>
      </c>
      <c r="AY167">
        <v>1546.896634835517</v>
      </c>
      <c r="BI167">
        <v>143</v>
      </c>
      <c r="BJ167">
        <v>684461.03137534228</v>
      </c>
      <c r="BK167">
        <v>-1821.7513753422536</v>
      </c>
      <c r="BU167">
        <v>143</v>
      </c>
      <c r="BV167">
        <v>671411.86335849017</v>
      </c>
      <c r="BW167">
        <v>11227.416641509859</v>
      </c>
      <c r="CG167">
        <v>143</v>
      </c>
      <c r="CH167">
        <v>681284.37160251639</v>
      </c>
      <c r="CI167">
        <v>1354.9083974836394</v>
      </c>
    </row>
    <row r="168" spans="13:87">
      <c r="M168">
        <v>144</v>
      </c>
      <c r="N168">
        <v>663654.11413526116</v>
      </c>
      <c r="O168">
        <v>31444.39586473885</v>
      </c>
      <c r="Y168">
        <v>144</v>
      </c>
      <c r="Z168">
        <v>672586.68682815949</v>
      </c>
      <c r="AA168">
        <v>22511.823171840515</v>
      </c>
      <c r="AK168">
        <v>144</v>
      </c>
      <c r="AL168">
        <v>723248.01504519116</v>
      </c>
      <c r="AM168">
        <v>-28149.505045191152</v>
      </c>
      <c r="AW168">
        <v>144</v>
      </c>
      <c r="AX168">
        <v>693290.45904065855</v>
      </c>
      <c r="AY168">
        <v>1808.0509593414608</v>
      </c>
      <c r="BI168">
        <v>144</v>
      </c>
      <c r="BJ168">
        <v>667137.10935389251</v>
      </c>
      <c r="BK168">
        <v>27961.400646107504</v>
      </c>
      <c r="BU168">
        <v>144</v>
      </c>
      <c r="BV168">
        <v>671411.86335849017</v>
      </c>
      <c r="BW168">
        <v>23686.64664150984</v>
      </c>
      <c r="CG168">
        <v>144</v>
      </c>
      <c r="CH168">
        <v>680755.88497076486</v>
      </c>
      <c r="CI168">
        <v>14342.625029235147</v>
      </c>
    </row>
    <row r="169" spans="13:87">
      <c r="M169">
        <v>145</v>
      </c>
      <c r="N169">
        <v>600254.25291917915</v>
      </c>
      <c r="O169">
        <v>-22521.682919179206</v>
      </c>
      <c r="Y169">
        <v>145</v>
      </c>
      <c r="Z169">
        <v>674390.18273947237</v>
      </c>
      <c r="AA169">
        <v>-96657.612739472417</v>
      </c>
      <c r="AK169">
        <v>145</v>
      </c>
      <c r="AL169">
        <v>604359.81372361071</v>
      </c>
      <c r="AM169">
        <v>-26627.243723610765</v>
      </c>
      <c r="AW169">
        <v>145</v>
      </c>
      <c r="AX169">
        <v>684862.69766486273</v>
      </c>
      <c r="AY169">
        <v>-107130.12766486278</v>
      </c>
      <c r="BI169">
        <v>145</v>
      </c>
      <c r="BJ169">
        <v>682788.73724355828</v>
      </c>
      <c r="BK169">
        <v>-105056.16724355833</v>
      </c>
      <c r="BU169">
        <v>145</v>
      </c>
      <c r="BV169">
        <v>671411.86335849017</v>
      </c>
      <c r="BW169">
        <v>-93679.29335849022</v>
      </c>
      <c r="CG169">
        <v>145</v>
      </c>
      <c r="CH169">
        <v>684455.29139302555</v>
      </c>
      <c r="CI169">
        <v>-106722.7213930256</v>
      </c>
    </row>
    <row r="170" spans="13:87">
      <c r="M170">
        <v>146</v>
      </c>
      <c r="N170">
        <v>558867.73687491613</v>
      </c>
      <c r="O170">
        <v>-21809.406874916167</v>
      </c>
      <c r="Y170">
        <v>146</v>
      </c>
      <c r="Z170">
        <v>689511.80230355787</v>
      </c>
      <c r="AA170">
        <v>-152453.47230355791</v>
      </c>
      <c r="AK170">
        <v>146</v>
      </c>
      <c r="AL170">
        <v>621343.84248383646</v>
      </c>
      <c r="AM170">
        <v>-84285.512483836501</v>
      </c>
      <c r="AW170">
        <v>146</v>
      </c>
      <c r="AX170">
        <v>692625.10945835896</v>
      </c>
      <c r="AY170">
        <v>-155566.779458359</v>
      </c>
      <c r="BI170">
        <v>146</v>
      </c>
      <c r="BJ170">
        <v>664288.98341069801</v>
      </c>
      <c r="BK170">
        <v>-127230.65341069805</v>
      </c>
      <c r="BU170">
        <v>146</v>
      </c>
      <c r="BV170">
        <v>671411.86335849017</v>
      </c>
      <c r="BW170">
        <v>-134353.53335849021</v>
      </c>
      <c r="CG170">
        <v>146</v>
      </c>
      <c r="CH170">
        <v>682869.83149777097</v>
      </c>
      <c r="CI170">
        <v>-145811.50149777101</v>
      </c>
    </row>
    <row r="171" spans="13:87">
      <c r="M171">
        <v>147</v>
      </c>
      <c r="N171">
        <v>598363.31727232912</v>
      </c>
      <c r="O171">
        <v>3205.5527276708744</v>
      </c>
      <c r="Y171">
        <v>147</v>
      </c>
      <c r="Z171">
        <v>676193.67865078535</v>
      </c>
      <c r="AA171">
        <v>-74624.808650785359</v>
      </c>
      <c r="AK171">
        <v>147</v>
      </c>
      <c r="AL171">
        <v>655311.90000428807</v>
      </c>
      <c r="AM171">
        <v>-53743.03000428807</v>
      </c>
      <c r="AW171">
        <v>147</v>
      </c>
      <c r="AX171">
        <v>692625.10945835896</v>
      </c>
      <c r="AY171">
        <v>-91056.239458358963</v>
      </c>
      <c r="BI171">
        <v>147</v>
      </c>
      <c r="BJ171">
        <v>676726.6710158413</v>
      </c>
      <c r="BK171">
        <v>-75157.801015841309</v>
      </c>
      <c r="BU171">
        <v>147</v>
      </c>
      <c r="BV171">
        <v>671411.86335849017</v>
      </c>
      <c r="BW171">
        <v>-69842.993358490174</v>
      </c>
      <c r="CG171">
        <v>147</v>
      </c>
      <c r="CH171">
        <v>683398.31812952249</v>
      </c>
      <c r="CI171">
        <v>-81829.448129522498</v>
      </c>
    </row>
    <row r="172" spans="13:87">
      <c r="M172">
        <v>148</v>
      </c>
      <c r="N172">
        <v>565931.98702729901</v>
      </c>
      <c r="O172">
        <v>5032.8529727009591</v>
      </c>
      <c r="Y172">
        <v>148</v>
      </c>
      <c r="Z172">
        <v>682852.74047717161</v>
      </c>
      <c r="AA172">
        <v>-111887.90047717164</v>
      </c>
      <c r="AK172">
        <v>148</v>
      </c>
      <c r="AL172">
        <v>604359.81372361071</v>
      </c>
      <c r="AM172">
        <v>-33394.973723610747</v>
      </c>
      <c r="AW172">
        <v>148</v>
      </c>
      <c r="AX172">
        <v>683088.43211206351</v>
      </c>
      <c r="AY172">
        <v>-112123.59211206355</v>
      </c>
      <c r="BI172">
        <v>148</v>
      </c>
      <c r="BJ172">
        <v>679627.05615065421</v>
      </c>
      <c r="BK172">
        <v>-108662.21615065425</v>
      </c>
      <c r="BU172">
        <v>148</v>
      </c>
      <c r="BV172">
        <v>671411.86335849017</v>
      </c>
      <c r="BW172">
        <v>-100447.0233584902</v>
      </c>
      <c r="CG172">
        <v>148</v>
      </c>
      <c r="CH172">
        <v>683398.31812952249</v>
      </c>
      <c r="CI172">
        <v>-112433.47812952253</v>
      </c>
    </row>
    <row r="173" spans="13:87">
      <c r="M173">
        <v>149</v>
      </c>
      <c r="N173">
        <v>636538.81052005442</v>
      </c>
      <c r="O173">
        <v>-22513.900520054391</v>
      </c>
      <c r="Y173">
        <v>149</v>
      </c>
      <c r="Z173">
        <v>691315.29821487085</v>
      </c>
      <c r="AA173">
        <v>-77290.388214870822</v>
      </c>
      <c r="AK173">
        <v>149</v>
      </c>
      <c r="AL173">
        <v>689279.95752473956</v>
      </c>
      <c r="AM173">
        <v>-75255.047524739522</v>
      </c>
      <c r="AW173">
        <v>149</v>
      </c>
      <c r="AX173">
        <v>680205.2505887649</v>
      </c>
      <c r="AY173">
        <v>-66180.34058876487</v>
      </c>
      <c r="BI173">
        <v>149</v>
      </c>
      <c r="BJ173">
        <v>640798.47677829477</v>
      </c>
      <c r="BK173">
        <v>-26773.566778294742</v>
      </c>
      <c r="BU173">
        <v>149</v>
      </c>
      <c r="BV173">
        <v>671411.86335849017</v>
      </c>
      <c r="BW173">
        <v>-57386.953358490136</v>
      </c>
      <c r="CG173">
        <v>149</v>
      </c>
      <c r="CH173">
        <v>681284.37160251639</v>
      </c>
      <c r="CI173">
        <v>-67259.461602516356</v>
      </c>
    </row>
    <row r="174" spans="13:87">
      <c r="M174">
        <v>150</v>
      </c>
      <c r="N174">
        <v>680137.36449082103</v>
      </c>
      <c r="O174">
        <v>32730.98550917895</v>
      </c>
      <c r="Y174">
        <v>150</v>
      </c>
      <c r="Z174">
        <v>691731.48957901995</v>
      </c>
      <c r="AA174">
        <v>21136.860420980025</v>
      </c>
      <c r="AK174">
        <v>150</v>
      </c>
      <c r="AL174">
        <v>621343.84248383646</v>
      </c>
      <c r="AM174">
        <v>91524.507516163518</v>
      </c>
      <c r="AW174">
        <v>150</v>
      </c>
      <c r="AX174">
        <v>704379.61874565319</v>
      </c>
      <c r="AY174">
        <v>8488.7312543467851</v>
      </c>
      <c r="BI174">
        <v>150</v>
      </c>
      <c r="BJ174">
        <v>678242.18757277052</v>
      </c>
      <c r="BK174">
        <v>34626.162427229458</v>
      </c>
      <c r="BU174">
        <v>150</v>
      </c>
      <c r="BV174">
        <v>671411.86335849017</v>
      </c>
      <c r="BW174">
        <v>41456.486641509808</v>
      </c>
      <c r="CG174">
        <v>150</v>
      </c>
      <c r="CH174">
        <v>679698.91170726181</v>
      </c>
      <c r="CI174">
        <v>33169.438292738167</v>
      </c>
    </row>
    <row r="175" spans="13:87">
      <c r="M175">
        <v>151</v>
      </c>
      <c r="N175">
        <v>644423.65538710798</v>
      </c>
      <c r="O175">
        <v>52320.494612892042</v>
      </c>
      <c r="Y175">
        <v>151</v>
      </c>
      <c r="Z175">
        <v>683962.58411490265</v>
      </c>
      <c r="AA175">
        <v>12781.56588509737</v>
      </c>
      <c r="AK175">
        <v>151</v>
      </c>
      <c r="AL175">
        <v>604359.81372361071</v>
      </c>
      <c r="AM175">
        <v>92384.336276389309</v>
      </c>
      <c r="AW175">
        <v>151</v>
      </c>
      <c r="AX175">
        <v>695508.29098165757</v>
      </c>
      <c r="AY175">
        <v>1235.8590183424531</v>
      </c>
      <c r="BI175">
        <v>151</v>
      </c>
      <c r="BJ175">
        <v>686394.62146521755</v>
      </c>
      <c r="BK175">
        <v>10349.528534782468</v>
      </c>
      <c r="BU175">
        <v>151</v>
      </c>
      <c r="BV175">
        <v>725037.1987272721</v>
      </c>
      <c r="BW175">
        <v>-28293.048727272078</v>
      </c>
      <c r="CG175">
        <v>151</v>
      </c>
      <c r="CH175">
        <v>681812.85823426791</v>
      </c>
      <c r="CI175">
        <v>14931.291765732109</v>
      </c>
    </row>
    <row r="176" spans="13:87">
      <c r="M176">
        <v>152</v>
      </c>
      <c r="N176">
        <v>657303.42460433114</v>
      </c>
      <c r="O176">
        <v>68544.565395668847</v>
      </c>
      <c r="Y176">
        <v>152</v>
      </c>
      <c r="Z176">
        <v>670505.73000741377</v>
      </c>
      <c r="AA176">
        <v>55342.259992586216</v>
      </c>
      <c r="AK176">
        <v>152</v>
      </c>
      <c r="AL176">
        <v>655311.90000428807</v>
      </c>
      <c r="AM176">
        <v>70536.089995711925</v>
      </c>
      <c r="AW176">
        <v>152</v>
      </c>
      <c r="AX176">
        <v>693955.80862295826</v>
      </c>
      <c r="AY176">
        <v>31892.181377041736</v>
      </c>
      <c r="BI176">
        <v>152</v>
      </c>
      <c r="BJ176">
        <v>683206.81077650422</v>
      </c>
      <c r="BK176">
        <v>42641.179223495768</v>
      </c>
      <c r="BU176">
        <v>152</v>
      </c>
      <c r="BV176">
        <v>671411.86335849017</v>
      </c>
      <c r="BW176">
        <v>54436.126641509822</v>
      </c>
      <c r="CG176">
        <v>152</v>
      </c>
      <c r="CH176">
        <v>679698.91170726181</v>
      </c>
      <c r="CI176">
        <v>46149.078292738181</v>
      </c>
    </row>
    <row r="177" spans="13:87">
      <c r="M177">
        <v>153</v>
      </c>
      <c r="N177">
        <v>791559.85553067725</v>
      </c>
      <c r="O177">
        <v>-6531.6055306772469</v>
      </c>
      <c r="Y177">
        <v>153</v>
      </c>
      <c r="Z177">
        <v>665372.70318290766</v>
      </c>
      <c r="AA177">
        <v>119655.54681709234</v>
      </c>
      <c r="AK177">
        <v>153</v>
      </c>
      <c r="AL177">
        <v>757216.07256564265</v>
      </c>
      <c r="AM177">
        <v>27812.177434357349</v>
      </c>
      <c r="AW177">
        <v>153</v>
      </c>
      <c r="AX177">
        <v>678652.7682300657</v>
      </c>
      <c r="AY177">
        <v>106375.4817699343</v>
      </c>
      <c r="BI177">
        <v>153</v>
      </c>
      <c r="BJ177">
        <v>691960.22537256102</v>
      </c>
      <c r="BK177">
        <v>93068.024627438979</v>
      </c>
      <c r="BU177">
        <v>153</v>
      </c>
      <c r="BV177">
        <v>671411.86335849017</v>
      </c>
      <c r="BW177">
        <v>113616.38664150983</v>
      </c>
      <c r="CG177">
        <v>153</v>
      </c>
      <c r="CH177">
        <v>677584.96518025571</v>
      </c>
      <c r="CI177">
        <v>107443.28481974429</v>
      </c>
    </row>
    <row r="178" spans="13:87">
      <c r="M178">
        <v>154</v>
      </c>
      <c r="N178">
        <v>686880.51236355014</v>
      </c>
      <c r="O178">
        <v>11612.157636449905</v>
      </c>
      <c r="Y178">
        <v>154</v>
      </c>
      <c r="Z178">
        <v>674390.18273947237</v>
      </c>
      <c r="AA178">
        <v>24102.487260527676</v>
      </c>
      <c r="AK178">
        <v>154</v>
      </c>
      <c r="AL178">
        <v>706263.98628496542</v>
      </c>
      <c r="AM178">
        <v>-7771.3162849653745</v>
      </c>
      <c r="AW178">
        <v>154</v>
      </c>
      <c r="AX178">
        <v>677765.63545366609</v>
      </c>
      <c r="AY178">
        <v>20727.034546333947</v>
      </c>
      <c r="BI178">
        <v>154</v>
      </c>
      <c r="BJ178">
        <v>687021.73176463647</v>
      </c>
      <c r="BK178">
        <v>11470.938235363574</v>
      </c>
      <c r="BU178">
        <v>154</v>
      </c>
      <c r="BV178">
        <v>671411.86335849017</v>
      </c>
      <c r="BW178">
        <v>27080.806641509873</v>
      </c>
      <c r="CG178">
        <v>154</v>
      </c>
      <c r="CH178">
        <v>679170.42507551028</v>
      </c>
      <c r="CI178">
        <v>19322.244924489758</v>
      </c>
    </row>
    <row r="179" spans="13:87">
      <c r="M179">
        <v>155</v>
      </c>
      <c r="N179">
        <v>722736.93359155371</v>
      </c>
      <c r="O179">
        <v>-36906.693591553718</v>
      </c>
      <c r="Y179">
        <v>155</v>
      </c>
      <c r="Z179">
        <v>672864.14773759223</v>
      </c>
      <c r="AA179">
        <v>12966.092262407765</v>
      </c>
      <c r="AK179">
        <v>155</v>
      </c>
      <c r="AL179">
        <v>672295.92876451381</v>
      </c>
      <c r="AM179">
        <v>13534.311235486181</v>
      </c>
      <c r="AW179">
        <v>155</v>
      </c>
      <c r="AX179">
        <v>685528.04724716232</v>
      </c>
      <c r="AY179">
        <v>302.1927528376691</v>
      </c>
      <c r="BI179">
        <v>155</v>
      </c>
      <c r="BJ179">
        <v>686577.52863588138</v>
      </c>
      <c r="BK179">
        <v>-747.28863588138483</v>
      </c>
      <c r="BU179">
        <v>155</v>
      </c>
      <c r="BV179">
        <v>671411.86335849017</v>
      </c>
      <c r="BW179">
        <v>14418.376641509822</v>
      </c>
      <c r="CG179">
        <v>155</v>
      </c>
      <c r="CH179">
        <v>679170.42507551028</v>
      </c>
      <c r="CI179">
        <v>6659.8149244897068</v>
      </c>
    </row>
    <row r="180" spans="13:87">
      <c r="M180">
        <v>156</v>
      </c>
      <c r="N180">
        <v>720881.67597577651</v>
      </c>
      <c r="O180">
        <v>-18562.735975776566</v>
      </c>
      <c r="Y180">
        <v>156</v>
      </c>
      <c r="Z180">
        <v>671893.03455457755</v>
      </c>
      <c r="AA180">
        <v>30425.905445422395</v>
      </c>
      <c r="AK180">
        <v>156</v>
      </c>
      <c r="AL180">
        <v>723248.01504519116</v>
      </c>
      <c r="AM180">
        <v>-20929.075045191217</v>
      </c>
      <c r="AW180">
        <v>156</v>
      </c>
      <c r="AX180">
        <v>684640.91447076283</v>
      </c>
      <c r="AY180">
        <v>17678.025529237115</v>
      </c>
      <c r="BI180">
        <v>156</v>
      </c>
      <c r="BJ180">
        <v>691333.11507314211</v>
      </c>
      <c r="BK180">
        <v>10985.824926857837</v>
      </c>
      <c r="BU180">
        <v>156</v>
      </c>
      <c r="BV180">
        <v>671411.86335849017</v>
      </c>
      <c r="BW180">
        <v>30907.076641509775</v>
      </c>
      <c r="CG180">
        <v>156</v>
      </c>
      <c r="CH180">
        <v>678113.45181200723</v>
      </c>
      <c r="CI180">
        <v>24205.488187992712</v>
      </c>
    </row>
    <row r="181" spans="13:87">
      <c r="M181">
        <v>157</v>
      </c>
      <c r="N181">
        <v>675606.25454459572</v>
      </c>
      <c r="O181">
        <v>24472.065455404227</v>
      </c>
      <c r="Y181">
        <v>157</v>
      </c>
      <c r="Z181">
        <v>689927.99366770708</v>
      </c>
      <c r="AA181">
        <v>10150.326332292869</v>
      </c>
      <c r="AK181">
        <v>157</v>
      </c>
      <c r="AL181">
        <v>723248.01504519116</v>
      </c>
      <c r="AM181">
        <v>-23169.695045191213</v>
      </c>
      <c r="AW181">
        <v>157</v>
      </c>
      <c r="AX181">
        <v>673773.53795986809</v>
      </c>
      <c r="AY181">
        <v>26304.78204013186</v>
      </c>
      <c r="BI181">
        <v>157</v>
      </c>
      <c r="BJ181">
        <v>684434.90177953313</v>
      </c>
      <c r="BK181">
        <v>15643.418220466818</v>
      </c>
      <c r="BU181">
        <v>157</v>
      </c>
      <c r="BV181">
        <v>671411.86335849017</v>
      </c>
      <c r="BW181">
        <v>28666.45664150978</v>
      </c>
      <c r="CG181">
        <v>157</v>
      </c>
      <c r="CH181">
        <v>680755.88497076486</v>
      </c>
      <c r="CI181">
        <v>19322.435029235086</v>
      </c>
    </row>
    <row r="182" spans="13:87">
      <c r="M182">
        <v>158</v>
      </c>
      <c r="N182">
        <v>639071.95072621189</v>
      </c>
      <c r="O182">
        <v>-37069.630726211937</v>
      </c>
      <c r="Y182">
        <v>158</v>
      </c>
      <c r="Z182">
        <v>682020.3577488733</v>
      </c>
      <c r="AA182">
        <v>-80018.03774887335</v>
      </c>
      <c r="AK182">
        <v>158</v>
      </c>
      <c r="AL182">
        <v>587375.78496338497</v>
      </c>
      <c r="AM182">
        <v>14626.53503661498</v>
      </c>
      <c r="AW182">
        <v>158</v>
      </c>
      <c r="AX182">
        <v>687967.66238226113</v>
      </c>
      <c r="AY182">
        <v>-85965.34238226118</v>
      </c>
      <c r="BI182">
        <v>158</v>
      </c>
      <c r="BJ182">
        <v>671605.27023725293</v>
      </c>
      <c r="BK182">
        <v>-69602.950237252982</v>
      </c>
      <c r="BU182">
        <v>158</v>
      </c>
      <c r="BV182">
        <v>671411.86335849017</v>
      </c>
      <c r="BW182">
        <v>-69409.54335849022</v>
      </c>
      <c r="CG182">
        <v>158</v>
      </c>
      <c r="CH182">
        <v>685512.2646565286</v>
      </c>
      <c r="CI182">
        <v>-83509.944656528649</v>
      </c>
    </row>
    <row r="183" spans="13:87">
      <c r="M183">
        <v>159</v>
      </c>
      <c r="N183">
        <v>696691.97090852621</v>
      </c>
      <c r="O183">
        <v>27524.099091473734</v>
      </c>
      <c r="Y183">
        <v>159</v>
      </c>
      <c r="Z183">
        <v>675916.21774135262</v>
      </c>
      <c r="AA183">
        <v>48299.852258647326</v>
      </c>
      <c r="AK183">
        <v>159</v>
      </c>
      <c r="AL183">
        <v>706263.98628496542</v>
      </c>
      <c r="AM183">
        <v>17952.083715034532</v>
      </c>
      <c r="AW183">
        <v>159</v>
      </c>
      <c r="AX183">
        <v>649377.38660888001</v>
      </c>
      <c r="AY183">
        <v>74838.683391119936</v>
      </c>
      <c r="BI183">
        <v>159</v>
      </c>
      <c r="BJ183">
        <v>691960.22537256102</v>
      </c>
      <c r="BK183">
        <v>32255.844627438928</v>
      </c>
      <c r="BU183">
        <v>159</v>
      </c>
      <c r="BV183">
        <v>671411.86335849017</v>
      </c>
      <c r="BW183">
        <v>52804.20664150978</v>
      </c>
      <c r="CG183">
        <v>159</v>
      </c>
      <c r="CH183">
        <v>683398.31812952249</v>
      </c>
      <c r="CI183">
        <v>40817.751870477456</v>
      </c>
    </row>
    <row r="184" spans="13:87">
      <c r="M184">
        <v>160</v>
      </c>
      <c r="N184">
        <v>583663.96847040125</v>
      </c>
      <c r="O184">
        <v>37309.061529598781</v>
      </c>
      <c r="Y184">
        <v>160</v>
      </c>
      <c r="Z184">
        <v>675777.48728663626</v>
      </c>
      <c r="AA184">
        <v>-54804.457286636229</v>
      </c>
      <c r="AK184">
        <v>160</v>
      </c>
      <c r="AL184">
        <v>604359.81372361071</v>
      </c>
      <c r="AM184">
        <v>16613.216276389314</v>
      </c>
      <c r="AW184">
        <v>160</v>
      </c>
      <c r="AX184">
        <v>691072.62709965964</v>
      </c>
      <c r="AY184">
        <v>-70099.597099659615</v>
      </c>
      <c r="BI184">
        <v>160</v>
      </c>
      <c r="BJ184">
        <v>678216.05797696149</v>
      </c>
      <c r="BK184">
        <v>-57243.027976961457</v>
      </c>
      <c r="BU184">
        <v>160</v>
      </c>
      <c r="BV184">
        <v>671411.86335849017</v>
      </c>
      <c r="BW184">
        <v>-50438.833358490141</v>
      </c>
      <c r="CG184">
        <v>160</v>
      </c>
      <c r="CH184">
        <v>683926.80476127402</v>
      </c>
      <c r="CI184">
        <v>-62953.774761273991</v>
      </c>
    </row>
    <row r="185" spans="13:87">
      <c r="M185">
        <v>161</v>
      </c>
      <c r="N185">
        <v>712390.30458048801</v>
      </c>
      <c r="O185">
        <v>-61910.244580487953</v>
      </c>
      <c r="Y185">
        <v>161</v>
      </c>
      <c r="Z185">
        <v>673557.80001117417</v>
      </c>
      <c r="AA185">
        <v>-23077.740011174115</v>
      </c>
      <c r="AK185">
        <v>161</v>
      </c>
      <c r="AL185">
        <v>672295.92876451381</v>
      </c>
      <c r="AM185">
        <v>-21815.868764513754</v>
      </c>
      <c r="AW185">
        <v>161</v>
      </c>
      <c r="AX185">
        <v>684640.91447076283</v>
      </c>
      <c r="AY185">
        <v>-34160.854470762773</v>
      </c>
      <c r="BI185">
        <v>161</v>
      </c>
      <c r="BJ185">
        <v>681900.33098604809</v>
      </c>
      <c r="BK185">
        <v>-31420.270986048039</v>
      </c>
      <c r="BU185">
        <v>161</v>
      </c>
      <c r="BV185">
        <v>671411.86335849017</v>
      </c>
      <c r="BW185">
        <v>-20931.803358490113</v>
      </c>
      <c r="CG185">
        <v>161</v>
      </c>
      <c r="CH185">
        <v>680227.39833901334</v>
      </c>
      <c r="CI185">
        <v>-29747.33833901328</v>
      </c>
    </row>
    <row r="186" spans="13:87">
      <c r="M186">
        <v>162</v>
      </c>
      <c r="N186">
        <v>695871.37619385554</v>
      </c>
      <c r="O186">
        <v>82427.503806144465</v>
      </c>
      <c r="Y186">
        <v>162</v>
      </c>
      <c r="Z186">
        <v>693118.79412618384</v>
      </c>
      <c r="AA186">
        <v>85180.085873816162</v>
      </c>
      <c r="AK186">
        <v>162</v>
      </c>
      <c r="AL186">
        <v>740232.04380541691</v>
      </c>
      <c r="AM186">
        <v>38066.836194583098</v>
      </c>
      <c r="AW186">
        <v>162</v>
      </c>
      <c r="AX186">
        <v>686636.96321766183</v>
      </c>
      <c r="AY186">
        <v>91661.916782338172</v>
      </c>
      <c r="BI186">
        <v>162</v>
      </c>
      <c r="BJ186">
        <v>681090.31351596513</v>
      </c>
      <c r="BK186">
        <v>97208.566484034876</v>
      </c>
      <c r="BU186">
        <v>162</v>
      </c>
      <c r="BV186">
        <v>671411.86335849017</v>
      </c>
      <c r="BW186">
        <v>106887.01664150984</v>
      </c>
      <c r="CG186">
        <v>162</v>
      </c>
      <c r="CH186">
        <v>679170.42507551028</v>
      </c>
      <c r="CI186">
        <v>99128.454924489721</v>
      </c>
    </row>
    <row r="187" spans="13:87">
      <c r="M187">
        <v>163</v>
      </c>
      <c r="N187">
        <v>733190.59669583745</v>
      </c>
      <c r="O187">
        <v>-56093.886695837486</v>
      </c>
      <c r="Y187">
        <v>163</v>
      </c>
      <c r="Z187">
        <v>671060.65182627924</v>
      </c>
      <c r="AA187">
        <v>6036.0581737207249</v>
      </c>
      <c r="AK187">
        <v>163</v>
      </c>
      <c r="AL187">
        <v>689279.95752473956</v>
      </c>
      <c r="AM187">
        <v>-12183.247524739592</v>
      </c>
      <c r="AW187">
        <v>163</v>
      </c>
      <c r="AX187">
        <v>645828.85550328169</v>
      </c>
      <c r="AY187">
        <v>31267.854496718268</v>
      </c>
      <c r="BI187">
        <v>163</v>
      </c>
      <c r="BJ187">
        <v>683690.20829897304</v>
      </c>
      <c r="BK187">
        <v>-6593.4982989730779</v>
      </c>
      <c r="BU187">
        <v>163</v>
      </c>
      <c r="BV187">
        <v>671411.86335849017</v>
      </c>
      <c r="BW187">
        <v>5684.8466415097937</v>
      </c>
      <c r="CG187">
        <v>163</v>
      </c>
      <c r="CH187">
        <v>679170.42507551028</v>
      </c>
      <c r="CI187">
        <v>-2073.7150755103212</v>
      </c>
    </row>
    <row r="188" spans="13:87">
      <c r="M188">
        <v>164</v>
      </c>
      <c r="N188">
        <v>662441.06107879139</v>
      </c>
      <c r="O188">
        <v>29567.578921208624</v>
      </c>
      <c r="Y188">
        <v>164</v>
      </c>
      <c r="Z188">
        <v>687430.84548281215</v>
      </c>
      <c r="AA188">
        <v>4577.7945171878673</v>
      </c>
      <c r="AK188">
        <v>164</v>
      </c>
      <c r="AL188">
        <v>723248.01504519116</v>
      </c>
      <c r="AM188">
        <v>-31239.375045191147</v>
      </c>
      <c r="AW188">
        <v>164</v>
      </c>
      <c r="AX188">
        <v>692846.89265245874</v>
      </c>
      <c r="AY188">
        <v>-838.25265245873015</v>
      </c>
      <c r="BI188">
        <v>164</v>
      </c>
      <c r="BJ188">
        <v>691071.81911505084</v>
      </c>
      <c r="BK188">
        <v>936.82088494917843</v>
      </c>
      <c r="BU188">
        <v>164</v>
      </c>
      <c r="BV188">
        <v>671411.86335849017</v>
      </c>
      <c r="BW188">
        <v>20596.776641509845</v>
      </c>
      <c r="CG188">
        <v>164</v>
      </c>
      <c r="CH188">
        <v>678641.93844375876</v>
      </c>
      <c r="CI188">
        <v>13366.701556241256</v>
      </c>
    </row>
    <row r="189" spans="13:87">
      <c r="M189">
        <v>165</v>
      </c>
      <c r="N189">
        <v>779036.86662418046</v>
      </c>
      <c r="O189">
        <v>46761.043375819572</v>
      </c>
      <c r="Y189">
        <v>165</v>
      </c>
      <c r="Z189">
        <v>676054.94819606899</v>
      </c>
      <c r="AA189">
        <v>149742.96180393104</v>
      </c>
      <c r="AK189">
        <v>165</v>
      </c>
      <c r="AL189">
        <v>774200.1013258684</v>
      </c>
      <c r="AM189">
        <v>51597.808674131637</v>
      </c>
      <c r="AW189">
        <v>165</v>
      </c>
      <c r="AX189">
        <v>668672.52449557057</v>
      </c>
      <c r="AY189">
        <v>157125.38550442946</v>
      </c>
      <c r="BI189">
        <v>165</v>
      </c>
      <c r="BJ189">
        <v>662773.46685376868</v>
      </c>
      <c r="BK189">
        <v>163024.44314623135</v>
      </c>
      <c r="BU189">
        <v>165</v>
      </c>
      <c r="BV189">
        <v>725037.1987272721</v>
      </c>
      <c r="BW189">
        <v>100760.71127272793</v>
      </c>
      <c r="CG189">
        <v>165</v>
      </c>
      <c r="CH189">
        <v>678641.93844375876</v>
      </c>
      <c r="CI189">
        <v>147155.97155624127</v>
      </c>
    </row>
    <row r="190" spans="13:87">
      <c r="M190">
        <v>166</v>
      </c>
      <c r="N190">
        <v>759984.79803139041</v>
      </c>
      <c r="O190">
        <v>-53699.278031390393</v>
      </c>
      <c r="Y190">
        <v>166</v>
      </c>
      <c r="Z190">
        <v>680771.78365642589</v>
      </c>
      <c r="AA190">
        <v>25513.736343574128</v>
      </c>
      <c r="AK190">
        <v>166</v>
      </c>
      <c r="AL190">
        <v>774200.1013258684</v>
      </c>
      <c r="AM190">
        <v>-67914.581325868377</v>
      </c>
      <c r="AW190">
        <v>166</v>
      </c>
      <c r="AX190">
        <v>675769.58670676709</v>
      </c>
      <c r="AY190">
        <v>30515.933293232927</v>
      </c>
      <c r="BI190">
        <v>166</v>
      </c>
      <c r="BJ190">
        <v>667842.60844073887</v>
      </c>
      <c r="BK190">
        <v>38442.911559261149</v>
      </c>
      <c r="BU190">
        <v>166</v>
      </c>
      <c r="BV190">
        <v>671411.86335849017</v>
      </c>
      <c r="BW190">
        <v>34873.65664150985</v>
      </c>
      <c r="CG190">
        <v>166</v>
      </c>
      <c r="CH190">
        <v>679170.42507551028</v>
      </c>
      <c r="CI190">
        <v>27115.094924489735</v>
      </c>
    </row>
    <row r="191" spans="13:87">
      <c r="M191">
        <v>167</v>
      </c>
      <c r="N191">
        <v>693980.44054700551</v>
      </c>
      <c r="O191">
        <v>-28445.740547005553</v>
      </c>
      <c r="Y191">
        <v>167</v>
      </c>
      <c r="Z191">
        <v>685349.88866206643</v>
      </c>
      <c r="AA191">
        <v>-19815.188662066474</v>
      </c>
      <c r="AK191">
        <v>167</v>
      </c>
      <c r="AL191">
        <v>672295.92876451381</v>
      </c>
      <c r="AM191">
        <v>-6761.2287645138567</v>
      </c>
      <c r="AW191">
        <v>167</v>
      </c>
      <c r="AX191">
        <v>685084.48085896252</v>
      </c>
      <c r="AY191">
        <v>-19549.780858962564</v>
      </c>
      <c r="BI191">
        <v>167</v>
      </c>
      <c r="BJ191">
        <v>683363.58835135901</v>
      </c>
      <c r="BK191">
        <v>-17828.888351359055</v>
      </c>
      <c r="BU191">
        <v>167</v>
      </c>
      <c r="BV191">
        <v>671411.86335849017</v>
      </c>
      <c r="BW191">
        <v>-5877.1633584902156</v>
      </c>
      <c r="CG191">
        <v>167</v>
      </c>
      <c r="CH191">
        <v>680227.39833901334</v>
      </c>
      <c r="CI191">
        <v>-14692.698339013383</v>
      </c>
    </row>
    <row r="192" spans="13:87">
      <c r="M192">
        <v>168</v>
      </c>
      <c r="N192">
        <v>783211.19625967939</v>
      </c>
      <c r="O192">
        <v>37518.093740320648</v>
      </c>
      <c r="Y192">
        <v>168</v>
      </c>
      <c r="Z192">
        <v>680355.59229227679</v>
      </c>
      <c r="AA192">
        <v>140373.69770772324</v>
      </c>
      <c r="AK192">
        <v>168</v>
      </c>
      <c r="AL192">
        <v>791184.13008609414</v>
      </c>
      <c r="AM192">
        <v>29545.159913905896</v>
      </c>
      <c r="AW192">
        <v>168</v>
      </c>
      <c r="AX192">
        <v>682644.86572386383</v>
      </c>
      <c r="AY192">
        <v>138084.42427613621</v>
      </c>
      <c r="BI192">
        <v>168</v>
      </c>
      <c r="BJ192">
        <v>671944.95498277154</v>
      </c>
      <c r="BK192">
        <v>148784.3350172285</v>
      </c>
      <c r="BU192">
        <v>168</v>
      </c>
      <c r="BV192">
        <v>671411.86335849017</v>
      </c>
      <c r="BW192">
        <v>149317.42664150987</v>
      </c>
      <c r="CG192">
        <v>168</v>
      </c>
      <c r="CH192">
        <v>679698.91170726181</v>
      </c>
      <c r="CI192">
        <v>141030.37829273823</v>
      </c>
    </row>
    <row r="193" spans="13:87">
      <c r="M193">
        <v>169</v>
      </c>
      <c r="N193">
        <v>780856.44620888517</v>
      </c>
      <c r="O193">
        <v>-41024.716208885191</v>
      </c>
      <c r="Y193">
        <v>169</v>
      </c>
      <c r="Z193">
        <v>678968.28774511302</v>
      </c>
      <c r="AA193">
        <v>60863.442254886962</v>
      </c>
      <c r="AK193">
        <v>169</v>
      </c>
      <c r="AL193">
        <v>825152.18760654563</v>
      </c>
      <c r="AM193">
        <v>-85320.457606545649</v>
      </c>
      <c r="AW193">
        <v>169</v>
      </c>
      <c r="AX193">
        <v>677987.418647766</v>
      </c>
      <c r="AY193">
        <v>61844.311352233985</v>
      </c>
      <c r="BI193">
        <v>169</v>
      </c>
      <c r="BJ193">
        <v>659690.17454829195</v>
      </c>
      <c r="BK193">
        <v>80141.555451708031</v>
      </c>
      <c r="BU193">
        <v>169</v>
      </c>
      <c r="BV193">
        <v>671411.86335849017</v>
      </c>
      <c r="BW193">
        <v>68419.866641509812</v>
      </c>
      <c r="CG193">
        <v>169</v>
      </c>
      <c r="CH193">
        <v>675471.0186532496</v>
      </c>
      <c r="CI193">
        <v>64360.71134675038</v>
      </c>
    </row>
    <row r="194" spans="13:87">
      <c r="M194">
        <v>170</v>
      </c>
      <c r="N194">
        <v>716707.34634027747</v>
      </c>
      <c r="O194">
        <v>-123070.20634027745</v>
      </c>
      <c r="Y194">
        <v>170</v>
      </c>
      <c r="Z194">
        <v>684101.31456961902</v>
      </c>
      <c r="AA194">
        <v>-90464.174569619005</v>
      </c>
      <c r="AK194">
        <v>170</v>
      </c>
      <c r="AL194">
        <v>655311.90000428807</v>
      </c>
      <c r="AM194">
        <v>-61674.760004288051</v>
      </c>
      <c r="AW194">
        <v>170</v>
      </c>
      <c r="AX194">
        <v>671333.92282476928</v>
      </c>
      <c r="AY194">
        <v>-77696.782824769267</v>
      </c>
      <c r="BI194">
        <v>170</v>
      </c>
      <c r="BJ194">
        <v>683389.71794716816</v>
      </c>
      <c r="BK194">
        <v>-89752.577947168145</v>
      </c>
      <c r="BU194">
        <v>170</v>
      </c>
      <c r="BV194">
        <v>671411.86335849017</v>
      </c>
      <c r="BW194">
        <v>-77774.723358490155</v>
      </c>
      <c r="CG194">
        <v>170</v>
      </c>
      <c r="CH194">
        <v>674942.53202149796</v>
      </c>
      <c r="CI194">
        <v>-81305.392021497944</v>
      </c>
    </row>
    <row r="195" spans="13:87">
      <c r="M195">
        <v>171</v>
      </c>
      <c r="N195">
        <v>765693.28300301288</v>
      </c>
      <c r="O195">
        <v>4009.4769969871268</v>
      </c>
      <c r="Y195">
        <v>171</v>
      </c>
      <c r="Z195">
        <v>676054.94819606899</v>
      </c>
      <c r="AA195">
        <v>93647.811803931021</v>
      </c>
      <c r="AK195">
        <v>171</v>
      </c>
      <c r="AL195">
        <v>757216.07256564265</v>
      </c>
      <c r="AM195">
        <v>12486.687434357358</v>
      </c>
      <c r="AW195">
        <v>171</v>
      </c>
      <c r="AX195">
        <v>672664.62198936869</v>
      </c>
      <c r="AY195">
        <v>97038.138010631315</v>
      </c>
      <c r="BI195">
        <v>171</v>
      </c>
      <c r="BJ195">
        <v>672284.63972829015</v>
      </c>
      <c r="BK195">
        <v>97418.120271709864</v>
      </c>
      <c r="BU195">
        <v>171</v>
      </c>
      <c r="BV195">
        <v>671411.86335849017</v>
      </c>
      <c r="BW195">
        <v>98290.89664150984</v>
      </c>
      <c r="CG195">
        <v>171</v>
      </c>
      <c r="CH195">
        <v>675471.0186532496</v>
      </c>
      <c r="CI195">
        <v>94231.741346750408</v>
      </c>
    </row>
    <row r="196" spans="13:87">
      <c r="M196">
        <v>172</v>
      </c>
      <c r="N196">
        <v>720096.75929217832</v>
      </c>
      <c r="O196">
        <v>-40365.189292178373</v>
      </c>
      <c r="Y196">
        <v>172</v>
      </c>
      <c r="Z196">
        <v>681465.43593000784</v>
      </c>
      <c r="AA196">
        <v>-1733.8659300078871</v>
      </c>
      <c r="AK196">
        <v>172</v>
      </c>
      <c r="AL196">
        <v>706263.98628496542</v>
      </c>
      <c r="AM196">
        <v>-26532.416284965468</v>
      </c>
      <c r="AW196">
        <v>172</v>
      </c>
      <c r="AX196">
        <v>683975.56488846312</v>
      </c>
      <c r="AY196">
        <v>-4243.994888463174</v>
      </c>
      <c r="BI196">
        <v>172</v>
      </c>
      <c r="BJ196">
        <v>691829.5773935155</v>
      </c>
      <c r="BK196">
        <v>-12098.007393515552</v>
      </c>
      <c r="BU196">
        <v>172</v>
      </c>
      <c r="BV196">
        <v>671411.86335849017</v>
      </c>
      <c r="BW196">
        <v>8319.7066415097797</v>
      </c>
      <c r="CG196">
        <v>172</v>
      </c>
      <c r="CH196">
        <v>678113.45181200723</v>
      </c>
      <c r="CI196">
        <v>1618.1181879927171</v>
      </c>
    </row>
    <row r="197" spans="13:87">
      <c r="M197">
        <v>173</v>
      </c>
      <c r="N197">
        <v>758272.25253990362</v>
      </c>
      <c r="O197">
        <v>22071.927460096427</v>
      </c>
      <c r="Y197">
        <v>173</v>
      </c>
      <c r="Z197">
        <v>676054.94819606899</v>
      </c>
      <c r="AA197">
        <v>104289.23180393106</v>
      </c>
      <c r="AK197">
        <v>173</v>
      </c>
      <c r="AL197">
        <v>740232.04380541691</v>
      </c>
      <c r="AM197">
        <v>40112.136194583145</v>
      </c>
      <c r="AW197">
        <v>173</v>
      </c>
      <c r="AX197">
        <v>694177.59181705816</v>
      </c>
      <c r="AY197">
        <v>86166.588182941894</v>
      </c>
      <c r="BI197">
        <v>173</v>
      </c>
      <c r="BJ197">
        <v>675681.48718347633</v>
      </c>
      <c r="BK197">
        <v>104662.69281652372</v>
      </c>
      <c r="BU197">
        <v>173</v>
      </c>
      <c r="BV197">
        <v>671411.86335849017</v>
      </c>
      <c r="BW197">
        <v>108932.31664150988</v>
      </c>
      <c r="CG197">
        <v>173</v>
      </c>
      <c r="CH197">
        <v>683926.80476127402</v>
      </c>
      <c r="CI197">
        <v>96417.375238726032</v>
      </c>
    </row>
    <row r="198" spans="13:87">
      <c r="M198">
        <v>174</v>
      </c>
      <c r="N198">
        <v>784638.31750258501</v>
      </c>
      <c r="O198">
        <v>-63274.207502585021</v>
      </c>
      <c r="Y198">
        <v>174</v>
      </c>
      <c r="Z198">
        <v>682714.01002245524</v>
      </c>
      <c r="AA198">
        <v>38650.099977544742</v>
      </c>
      <c r="AK198">
        <v>174</v>
      </c>
      <c r="AL198">
        <v>774200.1013258684</v>
      </c>
      <c r="AM198">
        <v>-52835.99132586841</v>
      </c>
      <c r="AW198">
        <v>174</v>
      </c>
      <c r="AX198">
        <v>682201.29933566402</v>
      </c>
      <c r="AY198">
        <v>39162.810664335964</v>
      </c>
      <c r="BI198">
        <v>174</v>
      </c>
      <c r="BJ198">
        <v>686969.47257301828</v>
      </c>
      <c r="BK198">
        <v>34394.637426981702</v>
      </c>
      <c r="BU198">
        <v>174</v>
      </c>
      <c r="BV198">
        <v>671411.86335849017</v>
      </c>
      <c r="BW198">
        <v>49952.246641509817</v>
      </c>
      <c r="CG198">
        <v>174</v>
      </c>
      <c r="CH198">
        <v>684983.77802477707</v>
      </c>
      <c r="CI198">
        <v>36380.331975222914</v>
      </c>
    </row>
    <row r="199" spans="13:87">
      <c r="M199">
        <v>175</v>
      </c>
      <c r="N199">
        <v>796982.91625371855</v>
      </c>
      <c r="O199">
        <v>-38844.62625371851</v>
      </c>
      <c r="Y199">
        <v>175</v>
      </c>
      <c r="Z199">
        <v>680494.32274699316</v>
      </c>
      <c r="AA199">
        <v>77643.967253006878</v>
      </c>
      <c r="AK199">
        <v>175</v>
      </c>
      <c r="AL199">
        <v>740232.04380541691</v>
      </c>
      <c r="AM199">
        <v>17906.246194583131</v>
      </c>
      <c r="AW199">
        <v>175</v>
      </c>
      <c r="AX199">
        <v>670890.35643656948</v>
      </c>
      <c r="AY199">
        <v>87247.933563430561</v>
      </c>
      <c r="BI199">
        <v>175</v>
      </c>
      <c r="BJ199">
        <v>668652.62591082184</v>
      </c>
      <c r="BK199">
        <v>89485.664089178201</v>
      </c>
      <c r="BU199">
        <v>175</v>
      </c>
      <c r="BV199">
        <v>671411.86335849017</v>
      </c>
      <c r="BW199">
        <v>86726.426641509868</v>
      </c>
      <c r="CG199">
        <v>175</v>
      </c>
      <c r="CH199">
        <v>682341.34486601944</v>
      </c>
      <c r="CI199">
        <v>75796.945133980596</v>
      </c>
    </row>
    <row r="200" spans="13:87">
      <c r="M200">
        <v>176</v>
      </c>
      <c r="N200">
        <v>817533.46215155954</v>
      </c>
      <c r="O200">
        <v>-13269.462151559535</v>
      </c>
      <c r="Y200">
        <v>176</v>
      </c>
      <c r="Z200">
        <v>675777.48728663626</v>
      </c>
      <c r="AA200">
        <v>128486.51271336374</v>
      </c>
      <c r="AK200">
        <v>176</v>
      </c>
      <c r="AL200">
        <v>791184.13008609414</v>
      </c>
      <c r="AM200">
        <v>13079.869913905859</v>
      </c>
      <c r="AW200">
        <v>176</v>
      </c>
      <c r="AX200">
        <v>693068.67584655876</v>
      </c>
      <c r="AY200">
        <v>111195.32415344124</v>
      </c>
      <c r="BI200">
        <v>176</v>
      </c>
      <c r="BJ200">
        <v>685401.69682447077</v>
      </c>
      <c r="BK200">
        <v>118862.30317552923</v>
      </c>
      <c r="BU200">
        <v>176</v>
      </c>
      <c r="BV200">
        <v>671411.86335849017</v>
      </c>
      <c r="BW200">
        <v>132852.13664150983</v>
      </c>
      <c r="CG200">
        <v>176</v>
      </c>
      <c r="CH200">
        <v>684983.77802477707</v>
      </c>
      <c r="CI200">
        <v>119280.22197522293</v>
      </c>
    </row>
    <row r="201" spans="13:87">
      <c r="M201">
        <v>177</v>
      </c>
      <c r="N201">
        <v>887426.7250228622</v>
      </c>
      <c r="O201">
        <v>111.02497713780031</v>
      </c>
      <c r="Y201">
        <v>177</v>
      </c>
      <c r="Z201">
        <v>691454.02866958722</v>
      </c>
      <c r="AA201">
        <v>196083.72133041278</v>
      </c>
      <c r="AK201">
        <v>177</v>
      </c>
      <c r="AL201">
        <v>808168.15884631989</v>
      </c>
      <c r="AM201">
        <v>79369.591153680114</v>
      </c>
      <c r="AW201">
        <v>177</v>
      </c>
      <c r="AX201">
        <v>654700.18326727743</v>
      </c>
      <c r="AY201">
        <v>232837.56673272257</v>
      </c>
      <c r="BI201">
        <v>177</v>
      </c>
      <c r="BJ201">
        <v>682945.51481841307</v>
      </c>
      <c r="BK201">
        <v>204592.23518158693</v>
      </c>
      <c r="BU201">
        <v>177</v>
      </c>
      <c r="BV201">
        <v>725037.1987272721</v>
      </c>
      <c r="BW201">
        <v>162500.5512727279</v>
      </c>
      <c r="CG201">
        <v>177</v>
      </c>
      <c r="CH201">
        <v>681812.85823426791</v>
      </c>
      <c r="CI201">
        <v>205724.89176573209</v>
      </c>
    </row>
    <row r="202" spans="13:87">
      <c r="M202">
        <v>178</v>
      </c>
      <c r="N202">
        <v>729158.97918462905</v>
      </c>
      <c r="O202">
        <v>54423.020815370954</v>
      </c>
      <c r="Y202">
        <v>178</v>
      </c>
      <c r="Z202">
        <v>673280.33910174132</v>
      </c>
      <c r="AA202">
        <v>110301.66089825868</v>
      </c>
      <c r="AK202">
        <v>178</v>
      </c>
      <c r="AL202">
        <v>757216.07256564265</v>
      </c>
      <c r="AM202">
        <v>26365.927434357349</v>
      </c>
      <c r="AW202">
        <v>178</v>
      </c>
      <c r="AX202">
        <v>686415.18002356193</v>
      </c>
      <c r="AY202">
        <v>97166.81997643807</v>
      </c>
      <c r="BI202">
        <v>178</v>
      </c>
      <c r="BJ202">
        <v>671944.95498277154</v>
      </c>
      <c r="BK202">
        <v>111637.04501722846</v>
      </c>
      <c r="BU202">
        <v>178</v>
      </c>
      <c r="BV202">
        <v>671411.86335849017</v>
      </c>
      <c r="BW202">
        <v>112170.13664150983</v>
      </c>
      <c r="CG202">
        <v>178</v>
      </c>
      <c r="CH202">
        <v>680227.39833901334</v>
      </c>
      <c r="CI202">
        <v>103354.60166098666</v>
      </c>
    </row>
    <row r="203" spans="13:87">
      <c r="M203">
        <v>179</v>
      </c>
      <c r="N203">
        <v>762874.71854827437</v>
      </c>
      <c r="O203">
        <v>19080.801451725652</v>
      </c>
      <c r="Y203">
        <v>179</v>
      </c>
      <c r="Z203">
        <v>692147.68094316917</v>
      </c>
      <c r="AA203">
        <v>89807.839056830853</v>
      </c>
      <c r="AK203">
        <v>179</v>
      </c>
      <c r="AL203">
        <v>757216.07256564265</v>
      </c>
      <c r="AM203">
        <v>24739.447434357367</v>
      </c>
      <c r="AW203">
        <v>179</v>
      </c>
      <c r="AX203">
        <v>676878.5026772666</v>
      </c>
      <c r="AY203">
        <v>105077.01732273342</v>
      </c>
      <c r="BI203">
        <v>179</v>
      </c>
      <c r="BJ203">
        <v>691698.92941446987</v>
      </c>
      <c r="BK203">
        <v>90256.590585530153</v>
      </c>
      <c r="BU203">
        <v>179</v>
      </c>
      <c r="BV203">
        <v>671411.86335849017</v>
      </c>
      <c r="BW203">
        <v>110543.65664150985</v>
      </c>
      <c r="CG203">
        <v>179</v>
      </c>
      <c r="CH203">
        <v>679698.91170726181</v>
      </c>
      <c r="CI203">
        <v>102256.60829273821</v>
      </c>
    </row>
    <row r="204" spans="13:87">
      <c r="M204">
        <v>180</v>
      </c>
      <c r="N204">
        <v>803155.21562928543</v>
      </c>
      <c r="O204">
        <v>94875.824370714603</v>
      </c>
      <c r="Y204">
        <v>180</v>
      </c>
      <c r="Z204">
        <v>696032.13367522776</v>
      </c>
      <c r="AA204">
        <v>201998.90632477228</v>
      </c>
      <c r="AK204">
        <v>180</v>
      </c>
      <c r="AL204">
        <v>740232.04380541691</v>
      </c>
      <c r="AM204">
        <v>157798.99619458313</v>
      </c>
      <c r="AW204">
        <v>180</v>
      </c>
      <c r="AX204">
        <v>683531.99850026332</v>
      </c>
      <c r="AY204">
        <v>214499.04149973672</v>
      </c>
      <c r="BI204">
        <v>180</v>
      </c>
      <c r="BJ204">
        <v>670429.43842584232</v>
      </c>
      <c r="BK204">
        <v>227601.60157415771</v>
      </c>
      <c r="BU204">
        <v>180</v>
      </c>
      <c r="BV204">
        <v>671411.86335849017</v>
      </c>
      <c r="BW204">
        <v>226619.17664150987</v>
      </c>
      <c r="CG204">
        <v>180</v>
      </c>
      <c r="CH204">
        <v>679698.91170726181</v>
      </c>
      <c r="CI204">
        <v>218332.12829273823</v>
      </c>
    </row>
    <row r="205" spans="13:87">
      <c r="M205">
        <v>181</v>
      </c>
      <c r="N205">
        <v>844363.3415181851</v>
      </c>
      <c r="O205">
        <v>10977.938481814926</v>
      </c>
      <c r="Y205">
        <v>181</v>
      </c>
      <c r="Z205">
        <v>697696.89913182438</v>
      </c>
      <c r="AA205">
        <v>157644.38086817565</v>
      </c>
      <c r="AK205">
        <v>181</v>
      </c>
      <c r="AL205">
        <v>808168.15884631989</v>
      </c>
      <c r="AM205">
        <v>47173.121153680142</v>
      </c>
      <c r="AW205">
        <v>181</v>
      </c>
      <c r="AX205">
        <v>683088.43211206351</v>
      </c>
      <c r="AY205">
        <v>172252.84788793651</v>
      </c>
      <c r="BI205">
        <v>181</v>
      </c>
      <c r="BJ205">
        <v>678712.52029733488</v>
      </c>
      <c r="BK205">
        <v>176628.75970266515</v>
      </c>
      <c r="BU205">
        <v>181</v>
      </c>
      <c r="BV205">
        <v>725037.1987272721</v>
      </c>
      <c r="BW205">
        <v>130304.08127272793</v>
      </c>
      <c r="CG205">
        <v>181</v>
      </c>
      <c r="CH205">
        <v>680755.88497076486</v>
      </c>
      <c r="CI205">
        <v>174585.39502923517</v>
      </c>
    </row>
    <row r="206" spans="13:87">
      <c r="M206">
        <v>182</v>
      </c>
      <c r="N206">
        <v>777752.45750556537</v>
      </c>
      <c r="O206">
        <v>-26358.577505565365</v>
      </c>
      <c r="Y206">
        <v>182</v>
      </c>
      <c r="Z206">
        <v>678274.63547153107</v>
      </c>
      <c r="AA206">
        <v>73119.244528468931</v>
      </c>
      <c r="AK206">
        <v>182</v>
      </c>
      <c r="AL206">
        <v>774200.1013258684</v>
      </c>
      <c r="AM206">
        <v>-22806.221325868391</v>
      </c>
      <c r="AW206">
        <v>182</v>
      </c>
      <c r="AX206">
        <v>676434.9362890668</v>
      </c>
      <c r="AY206">
        <v>74958.943710933207</v>
      </c>
      <c r="BI206">
        <v>182</v>
      </c>
      <c r="BJ206">
        <v>657939.49162908061</v>
      </c>
      <c r="BK206">
        <v>93454.388370919391</v>
      </c>
      <c r="BU206">
        <v>182</v>
      </c>
      <c r="BV206">
        <v>671411.86335849017</v>
      </c>
      <c r="BW206">
        <v>79982.016641509836</v>
      </c>
      <c r="CG206">
        <v>182</v>
      </c>
      <c r="CH206">
        <v>682341.34486601944</v>
      </c>
      <c r="CI206">
        <v>69052.535133980564</v>
      </c>
    </row>
    <row r="207" spans="13:87">
      <c r="M207">
        <v>183</v>
      </c>
      <c r="N207">
        <v>796483.42381870165</v>
      </c>
      <c r="O207">
        <v>-35406.343818701687</v>
      </c>
      <c r="Y207">
        <v>183</v>
      </c>
      <c r="Z207">
        <v>682159.08820358966</v>
      </c>
      <c r="AA207">
        <v>78917.991796410293</v>
      </c>
      <c r="AK207">
        <v>183</v>
      </c>
      <c r="AL207">
        <v>808168.15884631989</v>
      </c>
      <c r="AM207">
        <v>-47091.078846319928</v>
      </c>
      <c r="AW207">
        <v>183</v>
      </c>
      <c r="AX207">
        <v>655143.74965547724</v>
      </c>
      <c r="AY207">
        <v>105933.33034452272</v>
      </c>
      <c r="BI207">
        <v>183</v>
      </c>
      <c r="BJ207">
        <v>689817.59851621289</v>
      </c>
      <c r="BK207">
        <v>71259.481483787065</v>
      </c>
      <c r="BU207">
        <v>183</v>
      </c>
      <c r="BV207">
        <v>725037.1987272721</v>
      </c>
      <c r="BW207">
        <v>36039.881272727856</v>
      </c>
      <c r="CG207">
        <v>183</v>
      </c>
      <c r="CH207">
        <v>681284.37160251639</v>
      </c>
      <c r="CI207">
        <v>79792.70839748357</v>
      </c>
    </row>
    <row r="208" spans="13:87">
      <c r="M208">
        <v>184</v>
      </c>
      <c r="N208">
        <v>829628.31468518462</v>
      </c>
      <c r="O208">
        <v>-9967.7246851846576</v>
      </c>
      <c r="Y208">
        <v>184</v>
      </c>
      <c r="Z208">
        <v>688124.49775639409</v>
      </c>
      <c r="AA208">
        <v>131536.09224360588</v>
      </c>
      <c r="AK208">
        <v>184</v>
      </c>
      <c r="AL208">
        <v>825152.18760654563</v>
      </c>
      <c r="AM208">
        <v>-5491.5976065456634</v>
      </c>
      <c r="AW208">
        <v>184</v>
      </c>
      <c r="AX208">
        <v>684640.91447076283</v>
      </c>
      <c r="AY208">
        <v>135019.67552923714</v>
      </c>
      <c r="BI208">
        <v>184</v>
      </c>
      <c r="BJ208">
        <v>681952.59017766628</v>
      </c>
      <c r="BK208">
        <v>137707.99982233369</v>
      </c>
      <c r="BU208">
        <v>184</v>
      </c>
      <c r="BV208">
        <v>671411.86335849017</v>
      </c>
      <c r="BW208">
        <v>148248.7266415098</v>
      </c>
      <c r="CG208">
        <v>184</v>
      </c>
      <c r="CH208">
        <v>684983.77802477707</v>
      </c>
      <c r="CI208">
        <v>134676.8119752229</v>
      </c>
    </row>
    <row r="209" spans="13:87">
      <c r="M209">
        <v>185</v>
      </c>
      <c r="N209">
        <v>663475.72397989803</v>
      </c>
      <c r="O209">
        <v>18379.836020102026</v>
      </c>
      <c r="Y209">
        <v>185</v>
      </c>
      <c r="Z209">
        <v>687847.03684696136</v>
      </c>
      <c r="AA209">
        <v>-5991.4768469613045</v>
      </c>
      <c r="AK209">
        <v>185</v>
      </c>
      <c r="AL209">
        <v>621343.84248383646</v>
      </c>
      <c r="AM209">
        <v>60511.717516163597</v>
      </c>
      <c r="AW209">
        <v>185</v>
      </c>
      <c r="AX209">
        <v>692625.10945835896</v>
      </c>
      <c r="AY209">
        <v>-10769.549458358902</v>
      </c>
      <c r="BI209">
        <v>185</v>
      </c>
      <c r="BJ209">
        <v>686368.4918694084</v>
      </c>
      <c r="BK209">
        <v>-4512.9318694083486</v>
      </c>
      <c r="BU209">
        <v>185</v>
      </c>
      <c r="BV209">
        <v>671411.86335849017</v>
      </c>
      <c r="BW209">
        <v>10443.696641509887</v>
      </c>
      <c r="CG209">
        <v>185</v>
      </c>
      <c r="CH209">
        <v>678113.45181200723</v>
      </c>
      <c r="CI209">
        <v>3742.1081879928242</v>
      </c>
    </row>
    <row r="210" spans="13:87">
      <c r="M210">
        <v>186</v>
      </c>
      <c r="N210">
        <v>633791.60212746111</v>
      </c>
      <c r="O210">
        <v>44519.56787253893</v>
      </c>
      <c r="Y210">
        <v>186</v>
      </c>
      <c r="Z210">
        <v>675500.02637720341</v>
      </c>
      <c r="AA210">
        <v>2811.1436227966333</v>
      </c>
      <c r="AK210">
        <v>186</v>
      </c>
      <c r="AL210">
        <v>655311.90000428807</v>
      </c>
      <c r="AM210">
        <v>22999.269995711977</v>
      </c>
      <c r="AW210">
        <v>186</v>
      </c>
      <c r="AX210">
        <v>696617.20695215696</v>
      </c>
      <c r="AY210">
        <v>-18306.036952156923</v>
      </c>
      <c r="BI210">
        <v>186</v>
      </c>
      <c r="BJ210">
        <v>670246.53125517839</v>
      </c>
      <c r="BK210">
        <v>8064.6387448216556</v>
      </c>
      <c r="BU210">
        <v>186</v>
      </c>
      <c r="BV210">
        <v>671411.86335849017</v>
      </c>
      <c r="BW210">
        <v>6899.3066415098729</v>
      </c>
      <c r="CG210">
        <v>186</v>
      </c>
      <c r="CH210">
        <v>678113.45181200723</v>
      </c>
      <c r="CI210">
        <v>197.71818799281027</v>
      </c>
    </row>
    <row r="211" spans="13:87">
      <c r="M211">
        <v>187</v>
      </c>
      <c r="N211">
        <v>678888.63340327865</v>
      </c>
      <c r="O211">
        <v>87018.316596721299</v>
      </c>
      <c r="Y211">
        <v>187</v>
      </c>
      <c r="Z211">
        <v>688540.68912054319</v>
      </c>
      <c r="AA211">
        <v>77366.260879456764</v>
      </c>
      <c r="AK211">
        <v>187</v>
      </c>
      <c r="AL211">
        <v>638327.87124406232</v>
      </c>
      <c r="AM211">
        <v>127579.07875593763</v>
      </c>
      <c r="AW211">
        <v>187</v>
      </c>
      <c r="AX211">
        <v>704379.61874565319</v>
      </c>
      <c r="AY211">
        <v>61527.331254346762</v>
      </c>
      <c r="BI211">
        <v>187</v>
      </c>
      <c r="BJ211">
        <v>691228.59668990562</v>
      </c>
      <c r="BK211">
        <v>74678.353310094331</v>
      </c>
      <c r="BU211">
        <v>187</v>
      </c>
      <c r="BV211">
        <v>725037.1987272721</v>
      </c>
      <c r="BW211">
        <v>40869.751272727852</v>
      </c>
      <c r="CG211">
        <v>187</v>
      </c>
      <c r="CH211">
        <v>678641.93844375876</v>
      </c>
      <c r="CI211">
        <v>87265.011556241196</v>
      </c>
    </row>
    <row r="212" spans="13:87">
      <c r="M212">
        <v>188</v>
      </c>
      <c r="N212">
        <v>729408.7254021375</v>
      </c>
      <c r="O212">
        <v>-16862.345402137493</v>
      </c>
      <c r="Y212">
        <v>188</v>
      </c>
      <c r="Z212">
        <v>684794.96684320096</v>
      </c>
      <c r="AA212">
        <v>27751.413156799041</v>
      </c>
      <c r="AK212">
        <v>188</v>
      </c>
      <c r="AL212">
        <v>740232.04380541691</v>
      </c>
      <c r="AM212">
        <v>-27685.663805416902</v>
      </c>
      <c r="AW212">
        <v>188</v>
      </c>
      <c r="AX212">
        <v>650929.86896757921</v>
      </c>
      <c r="AY212">
        <v>61616.511032420793</v>
      </c>
      <c r="BI212">
        <v>188</v>
      </c>
      <c r="BJ212">
        <v>656894.30779671564</v>
      </c>
      <c r="BK212">
        <v>55652.072203284362</v>
      </c>
      <c r="BU212">
        <v>188</v>
      </c>
      <c r="BV212">
        <v>671411.86335849017</v>
      </c>
      <c r="BW212">
        <v>41134.516641509836</v>
      </c>
      <c r="CG212">
        <v>188</v>
      </c>
      <c r="CH212">
        <v>679170.42507551028</v>
      </c>
      <c r="CI212">
        <v>33375.954924489721</v>
      </c>
    </row>
    <row r="213" spans="13:87">
      <c r="M213">
        <v>189</v>
      </c>
      <c r="N213">
        <v>571497.75987463084</v>
      </c>
      <c r="O213">
        <v>54496.070125369122</v>
      </c>
      <c r="Y213">
        <v>189</v>
      </c>
      <c r="Z213">
        <v>697835.62958654074</v>
      </c>
      <c r="AA213">
        <v>-71841.799586540787</v>
      </c>
      <c r="AK213">
        <v>189</v>
      </c>
      <c r="AL213">
        <v>587375.78496338497</v>
      </c>
      <c r="AM213">
        <v>38618.045036614989</v>
      </c>
      <c r="AW213">
        <v>189</v>
      </c>
      <c r="AX213">
        <v>676434.9362890668</v>
      </c>
      <c r="AY213">
        <v>-50441.10628906684</v>
      </c>
      <c r="BI213">
        <v>189</v>
      </c>
      <c r="BJ213">
        <v>672180.12134505366</v>
      </c>
      <c r="BK213">
        <v>-46186.291345053702</v>
      </c>
      <c r="BU213">
        <v>189</v>
      </c>
      <c r="BV213">
        <v>671411.86335849017</v>
      </c>
      <c r="BW213">
        <v>-45418.033358490211</v>
      </c>
      <c r="CG213">
        <v>189</v>
      </c>
      <c r="CH213">
        <v>679698.91170726181</v>
      </c>
      <c r="CI213">
        <v>-53705.081707261852</v>
      </c>
    </row>
    <row r="214" spans="13:87">
      <c r="M214">
        <v>190</v>
      </c>
      <c r="N214">
        <v>528898.19077389815</v>
      </c>
      <c r="O214">
        <v>22064.739226101898</v>
      </c>
      <c r="Y214">
        <v>190</v>
      </c>
      <c r="Z214">
        <v>689789.26321299071</v>
      </c>
      <c r="AA214">
        <v>-138826.33321299066</v>
      </c>
      <c r="AK214">
        <v>190</v>
      </c>
      <c r="AL214">
        <v>570391.75620315922</v>
      </c>
      <c r="AM214">
        <v>-19428.826203159173</v>
      </c>
      <c r="AW214">
        <v>190</v>
      </c>
      <c r="AX214">
        <v>687302.31279996154</v>
      </c>
      <c r="AY214">
        <v>-136339.38279996149</v>
      </c>
      <c r="BI214">
        <v>190</v>
      </c>
      <c r="BJ214">
        <v>687283.02772272774</v>
      </c>
      <c r="BK214">
        <v>-136320.09772272769</v>
      </c>
      <c r="BU214">
        <v>190</v>
      </c>
      <c r="BV214">
        <v>671411.86335849017</v>
      </c>
      <c r="BW214">
        <v>-120448.93335849012</v>
      </c>
      <c r="CG214">
        <v>190</v>
      </c>
      <c r="CH214">
        <v>681284.37160251639</v>
      </c>
      <c r="CI214">
        <v>-130321.44160251634</v>
      </c>
    </row>
    <row r="215" spans="13:87">
      <c r="M215">
        <v>191</v>
      </c>
      <c r="N215">
        <v>491650.32633406157</v>
      </c>
      <c r="O215">
        <v>-48374.736334061541</v>
      </c>
      <c r="Y215">
        <v>191</v>
      </c>
      <c r="Z215">
        <v>661904.44181499816</v>
      </c>
      <c r="AA215">
        <v>-218628.85181499814</v>
      </c>
      <c r="AK215">
        <v>191</v>
      </c>
      <c r="AL215">
        <v>553407.72744293348</v>
      </c>
      <c r="AM215">
        <v>-110132.13744293345</v>
      </c>
      <c r="AW215">
        <v>191</v>
      </c>
      <c r="AX215">
        <v>671333.92282476928</v>
      </c>
      <c r="AY215">
        <v>-228058.33282476926</v>
      </c>
      <c r="BI215">
        <v>191</v>
      </c>
      <c r="BJ215">
        <v>680019.00008779101</v>
      </c>
      <c r="BK215">
        <v>-236743.41008779098</v>
      </c>
      <c r="BU215">
        <v>191</v>
      </c>
      <c r="BV215">
        <v>671411.86335849017</v>
      </c>
      <c r="BW215">
        <v>-228136.27335849014</v>
      </c>
      <c r="CG215">
        <v>191</v>
      </c>
      <c r="CH215">
        <v>681284.37160251639</v>
      </c>
      <c r="CI215">
        <v>-238008.78160251636</v>
      </c>
    </row>
    <row r="216" spans="13:87">
      <c r="M216">
        <v>192</v>
      </c>
      <c r="N216">
        <v>604214.51436824212</v>
      </c>
      <c r="O216">
        <v>-50202.44436824217</v>
      </c>
      <c r="Y216">
        <v>192</v>
      </c>
      <c r="Z216">
        <v>672031.76500929391</v>
      </c>
      <c r="AA216">
        <v>-118019.69500929397</v>
      </c>
      <c r="AK216">
        <v>192</v>
      </c>
      <c r="AL216">
        <v>621343.84248383646</v>
      </c>
      <c r="AM216">
        <v>-67331.77248383651</v>
      </c>
      <c r="AW216">
        <v>192</v>
      </c>
      <c r="AX216">
        <v>681535.94975336432</v>
      </c>
      <c r="AY216">
        <v>-127523.87975336437</v>
      </c>
      <c r="BI216">
        <v>192</v>
      </c>
      <c r="BJ216">
        <v>691960.22537256102</v>
      </c>
      <c r="BK216">
        <v>-137948.15537256107</v>
      </c>
      <c r="BU216">
        <v>192</v>
      </c>
      <c r="BV216">
        <v>671411.86335849017</v>
      </c>
      <c r="BW216">
        <v>-117399.79335849022</v>
      </c>
      <c r="CG216">
        <v>192</v>
      </c>
      <c r="CH216">
        <v>678113.45181200723</v>
      </c>
      <c r="CI216">
        <v>-124101.38181200728</v>
      </c>
    </row>
    <row r="217" spans="13:87">
      <c r="M217">
        <v>193</v>
      </c>
      <c r="N217">
        <v>666793.78086965356</v>
      </c>
      <c r="O217">
        <v>-23364.930869653588</v>
      </c>
      <c r="Y217">
        <v>193</v>
      </c>
      <c r="Z217">
        <v>675083.83501305431</v>
      </c>
      <c r="AA217">
        <v>-31654.985013054335</v>
      </c>
      <c r="AK217">
        <v>193</v>
      </c>
      <c r="AL217">
        <v>638327.87124406232</v>
      </c>
      <c r="AM217">
        <v>5100.9787559376564</v>
      </c>
      <c r="AW217">
        <v>193</v>
      </c>
      <c r="AX217">
        <v>679761.68420056521</v>
      </c>
      <c r="AY217">
        <v>-36332.834200565238</v>
      </c>
      <c r="BI217">
        <v>193</v>
      </c>
      <c r="BJ217">
        <v>691097.94871085999</v>
      </c>
      <c r="BK217">
        <v>-47669.098710860009</v>
      </c>
      <c r="BU217">
        <v>193</v>
      </c>
      <c r="BV217">
        <v>671411.86335849017</v>
      </c>
      <c r="BW217">
        <v>-27983.013358490192</v>
      </c>
      <c r="CG217">
        <v>193</v>
      </c>
      <c r="CH217">
        <v>684455.29139302555</v>
      </c>
      <c r="CI217">
        <v>-41026.441393025569</v>
      </c>
    </row>
    <row r="218" spans="13:87">
      <c r="M218">
        <v>194</v>
      </c>
      <c r="N218">
        <v>630152.4429580518</v>
      </c>
      <c r="O218">
        <v>-18228.172958051786</v>
      </c>
      <c r="Y218">
        <v>194</v>
      </c>
      <c r="Z218">
        <v>677026.06137908367</v>
      </c>
      <c r="AA218">
        <v>-65101.791379083646</v>
      </c>
      <c r="AK218">
        <v>194</v>
      </c>
      <c r="AL218">
        <v>604359.81372361071</v>
      </c>
      <c r="AM218">
        <v>7564.4562763893045</v>
      </c>
      <c r="AW218">
        <v>194</v>
      </c>
      <c r="AX218">
        <v>681092.38336516451</v>
      </c>
      <c r="AY218">
        <v>-69168.113365164492</v>
      </c>
      <c r="BI218">
        <v>194</v>
      </c>
      <c r="BJ218">
        <v>688458.85953413835</v>
      </c>
      <c r="BK218">
        <v>-76534.589534138329</v>
      </c>
      <c r="BU218">
        <v>194</v>
      </c>
      <c r="BV218">
        <v>671411.86335849017</v>
      </c>
      <c r="BW218">
        <v>-59487.59335849015</v>
      </c>
      <c r="CG218">
        <v>194</v>
      </c>
      <c r="CH218">
        <v>684455.29139302555</v>
      </c>
      <c r="CI218">
        <v>-72531.021393025527</v>
      </c>
    </row>
    <row r="219" spans="13:87">
      <c r="M219">
        <v>195</v>
      </c>
      <c r="N219">
        <v>581380.57448175224</v>
      </c>
      <c r="O219">
        <v>-21958.554481752217</v>
      </c>
      <c r="Y219">
        <v>195</v>
      </c>
      <c r="Z219">
        <v>685488.61911678291</v>
      </c>
      <c r="AA219">
        <v>-126066.59911678289</v>
      </c>
      <c r="AK219">
        <v>195</v>
      </c>
      <c r="AL219">
        <v>638327.87124406232</v>
      </c>
      <c r="AM219">
        <v>-78905.851244062302</v>
      </c>
      <c r="AW219">
        <v>195</v>
      </c>
      <c r="AX219">
        <v>676878.5026772666</v>
      </c>
      <c r="AY219">
        <v>-117456.48267726658</v>
      </c>
      <c r="BI219">
        <v>195</v>
      </c>
      <c r="BJ219">
        <v>682997.77401003125</v>
      </c>
      <c r="BK219">
        <v>-123575.75401003123</v>
      </c>
      <c r="BU219">
        <v>195</v>
      </c>
      <c r="BV219">
        <v>671411.86335849017</v>
      </c>
      <c r="BW219">
        <v>-111989.84335849015</v>
      </c>
      <c r="CG219">
        <v>195</v>
      </c>
      <c r="CH219">
        <v>681812.85823426791</v>
      </c>
      <c r="CI219">
        <v>-122390.8382342679</v>
      </c>
    </row>
    <row r="220" spans="13:87">
      <c r="M220">
        <v>196</v>
      </c>
      <c r="N220">
        <v>558261.2103466813</v>
      </c>
      <c r="O220">
        <v>-108796.1503466813</v>
      </c>
      <c r="Y220">
        <v>196</v>
      </c>
      <c r="Z220">
        <v>666066.3554564896</v>
      </c>
      <c r="AA220">
        <v>-216601.29545648961</v>
      </c>
      <c r="AK220">
        <v>196</v>
      </c>
      <c r="AL220">
        <v>519439.66992248193</v>
      </c>
      <c r="AM220">
        <v>-69974.609922481934</v>
      </c>
      <c r="AW220">
        <v>196</v>
      </c>
      <c r="AX220">
        <v>674217.10434806789</v>
      </c>
      <c r="AY220">
        <v>-224752.0443480679</v>
      </c>
      <c r="BI220">
        <v>196</v>
      </c>
      <c r="BJ220">
        <v>657260.1221380434</v>
      </c>
      <c r="BK220">
        <v>-207795.0621380434</v>
      </c>
      <c r="BU220">
        <v>196</v>
      </c>
      <c r="BV220">
        <v>671411.86335849017</v>
      </c>
      <c r="BW220">
        <v>-221946.80335849017</v>
      </c>
      <c r="CG220">
        <v>196</v>
      </c>
      <c r="CH220">
        <v>680755.88497076486</v>
      </c>
      <c r="CI220">
        <v>-231290.82497076486</v>
      </c>
    </row>
    <row r="221" spans="13:87">
      <c r="M221">
        <v>197</v>
      </c>
      <c r="N221">
        <v>623730.39736497658</v>
      </c>
      <c r="O221">
        <v>67717.032635023468</v>
      </c>
      <c r="Y221">
        <v>197</v>
      </c>
      <c r="Z221">
        <v>684240.04502433538</v>
      </c>
      <c r="AA221">
        <v>7207.3849756646669</v>
      </c>
      <c r="AK221">
        <v>197</v>
      </c>
      <c r="AL221">
        <v>587375.78496338497</v>
      </c>
      <c r="AM221">
        <v>104071.64503661508</v>
      </c>
      <c r="AW221">
        <v>197</v>
      </c>
      <c r="AX221">
        <v>683531.99850026332</v>
      </c>
      <c r="AY221">
        <v>7915.4314997367328</v>
      </c>
      <c r="BI221">
        <v>197</v>
      </c>
      <c r="BJ221">
        <v>691960.22537256102</v>
      </c>
      <c r="BK221">
        <v>-512.79537256096955</v>
      </c>
      <c r="BU221">
        <v>197</v>
      </c>
      <c r="BV221">
        <v>671411.86335849017</v>
      </c>
      <c r="BW221">
        <v>20035.566641509882</v>
      </c>
      <c r="CG221">
        <v>197</v>
      </c>
      <c r="CH221">
        <v>679170.42507551028</v>
      </c>
      <c r="CI221">
        <v>12277.004924489767</v>
      </c>
    </row>
    <row r="222" spans="13:87">
      <c r="M222">
        <v>198</v>
      </c>
      <c r="N222">
        <v>602180.86659710167</v>
      </c>
      <c r="O222">
        <v>-28114.256597101688</v>
      </c>
      <c r="Y222">
        <v>198</v>
      </c>
      <c r="Z222">
        <v>694089.90730919852</v>
      </c>
      <c r="AA222">
        <v>-120023.29730919853</v>
      </c>
      <c r="AK222">
        <v>198</v>
      </c>
      <c r="AL222">
        <v>655311.90000428807</v>
      </c>
      <c r="AM222">
        <v>-81245.290004288079</v>
      </c>
      <c r="AW222">
        <v>198</v>
      </c>
      <c r="AX222">
        <v>685749.83044126222</v>
      </c>
      <c r="AY222">
        <v>-111683.22044126224</v>
      </c>
      <c r="BI222">
        <v>198</v>
      </c>
      <c r="BJ222">
        <v>658984.67546144559</v>
      </c>
      <c r="BK222">
        <v>-84918.0654614456</v>
      </c>
      <c r="BU222">
        <v>198</v>
      </c>
      <c r="BV222">
        <v>671411.86335849017</v>
      </c>
      <c r="BW222">
        <v>-97345.253358490183</v>
      </c>
      <c r="CG222">
        <v>198</v>
      </c>
      <c r="CH222">
        <v>677056.47854850418</v>
      </c>
      <c r="CI222">
        <v>-102989.86854850419</v>
      </c>
    </row>
    <row r="223" spans="13:87">
      <c r="M223">
        <v>199</v>
      </c>
      <c r="N223">
        <v>625228.87467002741</v>
      </c>
      <c r="O223">
        <v>-46279.034670027439</v>
      </c>
      <c r="Y223">
        <v>199</v>
      </c>
      <c r="Z223">
        <v>658436.18044708867</v>
      </c>
      <c r="AA223">
        <v>-79486.340447088704</v>
      </c>
      <c r="AK223">
        <v>199</v>
      </c>
      <c r="AL223">
        <v>621343.84248383646</v>
      </c>
      <c r="AM223">
        <v>-42394.002483836492</v>
      </c>
      <c r="AW223">
        <v>199</v>
      </c>
      <c r="AX223">
        <v>675547.80351266731</v>
      </c>
      <c r="AY223">
        <v>-96597.963512667338</v>
      </c>
      <c r="BI223">
        <v>199</v>
      </c>
      <c r="BJ223">
        <v>686629.78782749968</v>
      </c>
      <c r="BK223">
        <v>-107679.94782749971</v>
      </c>
      <c r="BU223">
        <v>199</v>
      </c>
      <c r="BV223">
        <v>725037.1987272721</v>
      </c>
      <c r="BW223">
        <v>-146087.35872727213</v>
      </c>
      <c r="CG223">
        <v>199</v>
      </c>
      <c r="CH223">
        <v>678641.93844375876</v>
      </c>
      <c r="CI223">
        <v>-99692.09844375879</v>
      </c>
    </row>
    <row r="224" spans="13:87">
      <c r="M224">
        <v>200</v>
      </c>
      <c r="N224">
        <v>645315.60616392398</v>
      </c>
      <c r="O224">
        <v>90471.033836076036</v>
      </c>
      <c r="Y224">
        <v>200</v>
      </c>
      <c r="Z224">
        <v>671615.57364514482</v>
      </c>
      <c r="AA224">
        <v>64171.066354855197</v>
      </c>
      <c r="AK224">
        <v>200</v>
      </c>
      <c r="AL224">
        <v>706263.98628496542</v>
      </c>
      <c r="AM224">
        <v>29522.653715034598</v>
      </c>
      <c r="AW224">
        <v>200</v>
      </c>
      <c r="AX224">
        <v>684419.13127666293</v>
      </c>
      <c r="AY224">
        <v>51367.508723337087</v>
      </c>
      <c r="BI224">
        <v>200</v>
      </c>
      <c r="BJ224">
        <v>687779.49004310113</v>
      </c>
      <c r="BK224">
        <v>48007.14995689888</v>
      </c>
      <c r="BU224">
        <v>200</v>
      </c>
      <c r="BV224">
        <v>671411.86335849017</v>
      </c>
      <c r="BW224">
        <v>64374.776641509845</v>
      </c>
      <c r="CG224">
        <v>200</v>
      </c>
      <c r="CH224">
        <v>675999.50528500113</v>
      </c>
      <c r="CI224">
        <v>59787.134714998887</v>
      </c>
    </row>
    <row r="225" spans="13:87">
      <c r="M225">
        <v>201</v>
      </c>
      <c r="N225">
        <v>658873.2579715274</v>
      </c>
      <c r="O225">
        <v>-59968.357971527381</v>
      </c>
      <c r="Y225">
        <v>201</v>
      </c>
      <c r="Z225">
        <v>680771.78365642589</v>
      </c>
      <c r="AA225">
        <v>-81866.883656425867</v>
      </c>
      <c r="AK225">
        <v>201</v>
      </c>
      <c r="AL225">
        <v>621343.84248383646</v>
      </c>
      <c r="AM225">
        <v>-22438.942483836436</v>
      </c>
      <c r="AW225">
        <v>201</v>
      </c>
      <c r="AX225">
        <v>671555.70601886918</v>
      </c>
      <c r="AY225">
        <v>-72650.80601886916</v>
      </c>
      <c r="BI225">
        <v>201</v>
      </c>
      <c r="BJ225">
        <v>691411.50386056944</v>
      </c>
      <c r="BK225">
        <v>-92506.603860569419</v>
      </c>
      <c r="BU225">
        <v>201</v>
      </c>
      <c r="BV225">
        <v>725037.1987272721</v>
      </c>
      <c r="BW225">
        <v>-126132.29872727208</v>
      </c>
      <c r="CG225">
        <v>201</v>
      </c>
      <c r="CH225">
        <v>677056.47854850418</v>
      </c>
      <c r="CI225">
        <v>-78151.578548504156</v>
      </c>
    </row>
    <row r="226" spans="13:87">
      <c r="M226">
        <v>202</v>
      </c>
      <c r="N226">
        <v>674357.52345705335</v>
      </c>
      <c r="O226">
        <v>113357.98654294666</v>
      </c>
      <c r="Y226">
        <v>202</v>
      </c>
      <c r="Z226">
        <v>677026.06137908367</v>
      </c>
      <c r="AA226">
        <v>110689.44862091634</v>
      </c>
      <c r="AK226">
        <v>202</v>
      </c>
      <c r="AL226">
        <v>621343.84248383646</v>
      </c>
      <c r="AM226">
        <v>166371.66751616355</v>
      </c>
      <c r="AW226">
        <v>202</v>
      </c>
      <c r="AX226">
        <v>670890.35643656948</v>
      </c>
      <c r="AY226">
        <v>116825.15356343053</v>
      </c>
      <c r="BI226">
        <v>202</v>
      </c>
      <c r="BJ226">
        <v>684513.29056696047</v>
      </c>
      <c r="BK226">
        <v>103202.21943303954</v>
      </c>
      <c r="BU226">
        <v>202</v>
      </c>
      <c r="BV226">
        <v>671411.86335849017</v>
      </c>
      <c r="BW226">
        <v>116303.64664150984</v>
      </c>
      <c r="CG226">
        <v>202</v>
      </c>
      <c r="CH226">
        <v>675999.50528500113</v>
      </c>
      <c r="CI226">
        <v>111716.00471499888</v>
      </c>
    </row>
    <row r="227" spans="13:87">
      <c r="M227">
        <v>203</v>
      </c>
      <c r="N227">
        <v>692446.28521088208</v>
      </c>
      <c r="O227">
        <v>-85361.365210882039</v>
      </c>
      <c r="Y227">
        <v>203</v>
      </c>
      <c r="Z227">
        <v>693396.25503561657</v>
      </c>
      <c r="AA227">
        <v>-86311.335035616532</v>
      </c>
      <c r="AK227">
        <v>203</v>
      </c>
      <c r="AL227">
        <v>638327.87124406232</v>
      </c>
      <c r="AM227">
        <v>-31242.951244062278</v>
      </c>
      <c r="AW227">
        <v>203</v>
      </c>
      <c r="AX227">
        <v>664015.07741947286</v>
      </c>
      <c r="AY227">
        <v>-56930.157419472816</v>
      </c>
      <c r="BI227">
        <v>203</v>
      </c>
      <c r="BJ227">
        <v>670429.43842584232</v>
      </c>
      <c r="BK227">
        <v>-63344.518425842281</v>
      </c>
      <c r="BU227">
        <v>203</v>
      </c>
      <c r="BV227">
        <v>725037.1987272721</v>
      </c>
      <c r="BW227">
        <v>-117952.27872727206</v>
      </c>
      <c r="CG227">
        <v>203</v>
      </c>
      <c r="CH227">
        <v>674942.53202149796</v>
      </c>
      <c r="CI227">
        <v>-67857.612021497916</v>
      </c>
    </row>
    <row r="228" spans="13:87">
      <c r="M228">
        <v>204</v>
      </c>
      <c r="N228">
        <v>661013.93983588577</v>
      </c>
      <c r="O228">
        <v>-10218.449835885782</v>
      </c>
      <c r="Y228">
        <v>204</v>
      </c>
      <c r="Z228">
        <v>680216.86183756043</v>
      </c>
      <c r="AA228">
        <v>-29421.371837560437</v>
      </c>
      <c r="AK228">
        <v>204</v>
      </c>
      <c r="AL228">
        <v>655311.90000428807</v>
      </c>
      <c r="AM228">
        <v>-4516.4100042880746</v>
      </c>
      <c r="AW228">
        <v>204</v>
      </c>
      <c r="AX228">
        <v>681535.94975336432</v>
      </c>
      <c r="AY228">
        <v>-30740.459753364325</v>
      </c>
      <c r="BI228">
        <v>204</v>
      </c>
      <c r="BJ228">
        <v>690444.70881563181</v>
      </c>
      <c r="BK228">
        <v>-39649.218815631815</v>
      </c>
      <c r="BU228">
        <v>204</v>
      </c>
      <c r="BV228">
        <v>671411.86335849017</v>
      </c>
      <c r="BW228">
        <v>-20616.373358490178</v>
      </c>
      <c r="CG228">
        <v>204</v>
      </c>
      <c r="CH228">
        <v>680227.39833901334</v>
      </c>
      <c r="CI228">
        <v>-29431.908339013346</v>
      </c>
    </row>
    <row r="229" spans="13:87">
      <c r="M229">
        <v>205</v>
      </c>
      <c r="N229">
        <v>784495.60537829436</v>
      </c>
      <c r="O229">
        <v>40564.914621705655</v>
      </c>
      <c r="Y229">
        <v>205</v>
      </c>
      <c r="Z229">
        <v>688124.49775639409</v>
      </c>
      <c r="AA229">
        <v>136936.02224360593</v>
      </c>
      <c r="AK229">
        <v>205</v>
      </c>
      <c r="AL229">
        <v>808168.15884631989</v>
      </c>
      <c r="AM229">
        <v>16892.361153680133</v>
      </c>
      <c r="AW229">
        <v>205</v>
      </c>
      <c r="AX229">
        <v>693955.80862295826</v>
      </c>
      <c r="AY229">
        <v>131104.71137704176</v>
      </c>
      <c r="BI229">
        <v>205</v>
      </c>
      <c r="BJ229">
        <v>690209.54245334968</v>
      </c>
      <c r="BK229">
        <v>134850.97754665033</v>
      </c>
      <c r="BU229">
        <v>205</v>
      </c>
      <c r="BV229">
        <v>671411.86335849017</v>
      </c>
      <c r="BW229">
        <v>153648.65664150985</v>
      </c>
      <c r="CG229">
        <v>205</v>
      </c>
      <c r="CH229">
        <v>681812.85823426791</v>
      </c>
      <c r="CI229">
        <v>143247.6617657321</v>
      </c>
    </row>
    <row r="230" spans="13:87">
      <c r="M230">
        <v>206</v>
      </c>
      <c r="N230">
        <v>727375.07763099705</v>
      </c>
      <c r="O230">
        <v>68089.392369002919</v>
      </c>
      <c r="Y230">
        <v>206</v>
      </c>
      <c r="Z230">
        <v>682991.47093188798</v>
      </c>
      <c r="AA230">
        <v>112472.999068112</v>
      </c>
      <c r="AK230">
        <v>206</v>
      </c>
      <c r="AL230">
        <v>723248.01504519116</v>
      </c>
      <c r="AM230">
        <v>72216.454954808811</v>
      </c>
      <c r="AW230">
        <v>206</v>
      </c>
      <c r="AX230">
        <v>693512.24223475845</v>
      </c>
      <c r="AY230">
        <v>101952.22776524152</v>
      </c>
      <c r="BI230">
        <v>206</v>
      </c>
      <c r="BJ230">
        <v>690000.50568687671</v>
      </c>
      <c r="BK230">
        <v>105463.96431312326</v>
      </c>
      <c r="BU230">
        <v>206</v>
      </c>
      <c r="BV230">
        <v>671411.86335849017</v>
      </c>
      <c r="BW230">
        <v>124052.6066415098</v>
      </c>
      <c r="CG230">
        <v>206</v>
      </c>
      <c r="CH230">
        <v>681812.85823426791</v>
      </c>
      <c r="CI230">
        <v>113651.61176573206</v>
      </c>
    </row>
    <row r="231" spans="13:87">
      <c r="M231">
        <v>207</v>
      </c>
      <c r="N231">
        <v>777609.74538127473</v>
      </c>
      <c r="O231">
        <v>-105741.15538127476</v>
      </c>
      <c r="Y231">
        <v>207</v>
      </c>
      <c r="Z231">
        <v>677164.79183380003</v>
      </c>
      <c r="AA231">
        <v>-5296.2018338000635</v>
      </c>
      <c r="AK231">
        <v>207</v>
      </c>
      <c r="AL231">
        <v>723248.01504519116</v>
      </c>
      <c r="AM231">
        <v>-51379.425045191194</v>
      </c>
      <c r="AW231">
        <v>207</v>
      </c>
      <c r="AX231">
        <v>669337.87407787028</v>
      </c>
      <c r="AY231">
        <v>2530.7159221296897</v>
      </c>
      <c r="BI231">
        <v>207</v>
      </c>
      <c r="BJ231">
        <v>682501.31168965786</v>
      </c>
      <c r="BK231">
        <v>-10632.72168965789</v>
      </c>
      <c r="BU231">
        <v>207</v>
      </c>
      <c r="BV231">
        <v>671411.86335849017</v>
      </c>
      <c r="BW231">
        <v>456.72664150979836</v>
      </c>
      <c r="CG231">
        <v>207</v>
      </c>
      <c r="CH231">
        <v>681812.85823426791</v>
      </c>
      <c r="CI231">
        <v>-9944.2682342679473</v>
      </c>
    </row>
    <row r="232" spans="13:87">
      <c r="M232">
        <v>208</v>
      </c>
      <c r="N232">
        <v>742645.27493008715</v>
      </c>
      <c r="O232">
        <v>-66727.644930087146</v>
      </c>
      <c r="Y232">
        <v>208</v>
      </c>
      <c r="Z232">
        <v>681742.89683944057</v>
      </c>
      <c r="AA232">
        <v>-5825.2668394405628</v>
      </c>
      <c r="AK232">
        <v>208</v>
      </c>
      <c r="AL232">
        <v>706263.98628496542</v>
      </c>
      <c r="AM232">
        <v>-30346.356284965412</v>
      </c>
      <c r="AW232">
        <v>208</v>
      </c>
      <c r="AX232">
        <v>692403.32626425906</v>
      </c>
      <c r="AY232">
        <v>-16485.696264259052</v>
      </c>
      <c r="BI232">
        <v>208</v>
      </c>
      <c r="BJ232">
        <v>685427.82642027992</v>
      </c>
      <c r="BK232">
        <v>-9510.1964202799136</v>
      </c>
      <c r="BU232">
        <v>208</v>
      </c>
      <c r="BV232">
        <v>671411.86335849017</v>
      </c>
      <c r="BW232">
        <v>4505.7666415098356</v>
      </c>
      <c r="CG232">
        <v>208</v>
      </c>
      <c r="CH232">
        <v>681812.85823426791</v>
      </c>
      <c r="CI232">
        <v>-5895.22823426791</v>
      </c>
    </row>
    <row r="233" spans="13:87">
      <c r="M233">
        <v>209</v>
      </c>
      <c r="N233">
        <v>807650.64754443802</v>
      </c>
      <c r="O233">
        <v>2795.8824555620085</v>
      </c>
      <c r="Y233">
        <v>209</v>
      </c>
      <c r="Z233">
        <v>684378.77547905187</v>
      </c>
      <c r="AA233">
        <v>126067.75452094816</v>
      </c>
      <c r="AK233">
        <v>209</v>
      </c>
      <c r="AL233">
        <v>808168.15884631989</v>
      </c>
      <c r="AM233">
        <v>2278.371153680142</v>
      </c>
      <c r="AW233">
        <v>209</v>
      </c>
      <c r="AX233">
        <v>677765.63545366609</v>
      </c>
      <c r="AY233">
        <v>132680.89454633393</v>
      </c>
      <c r="BI233">
        <v>209</v>
      </c>
      <c r="BJ233">
        <v>682449.05249803967</v>
      </c>
      <c r="BK233">
        <v>127997.47750196035</v>
      </c>
      <c r="BU233">
        <v>209</v>
      </c>
      <c r="BV233">
        <v>725037.1987272721</v>
      </c>
      <c r="BW233">
        <v>85409.331272727926</v>
      </c>
      <c r="CG233">
        <v>209</v>
      </c>
      <c r="CH233">
        <v>681812.85823426791</v>
      </c>
      <c r="CI233">
        <v>128633.67176573211</v>
      </c>
    </row>
    <row r="234" spans="13:87">
      <c r="M234">
        <v>210</v>
      </c>
      <c r="N234">
        <v>783853.40081898682</v>
      </c>
      <c r="O234">
        <v>-92565.210818986874</v>
      </c>
      <c r="Y234">
        <v>210</v>
      </c>
      <c r="Z234">
        <v>674112.72183003963</v>
      </c>
      <c r="AA234">
        <v>17175.46816996031</v>
      </c>
      <c r="AK234">
        <v>210</v>
      </c>
      <c r="AL234">
        <v>723248.01504519116</v>
      </c>
      <c r="AM234">
        <v>-31959.825045191217</v>
      </c>
      <c r="AW234">
        <v>210</v>
      </c>
      <c r="AX234">
        <v>673108.1883775685</v>
      </c>
      <c r="AY234">
        <v>18180.001622431446</v>
      </c>
      <c r="BI234">
        <v>210</v>
      </c>
      <c r="BJ234">
        <v>679182.85302189912</v>
      </c>
      <c r="BK234">
        <v>12105.336978100822</v>
      </c>
      <c r="BU234">
        <v>210</v>
      </c>
      <c r="BV234">
        <v>671411.86335849017</v>
      </c>
      <c r="BW234">
        <v>19876.326641509775</v>
      </c>
      <c r="CG234">
        <v>210</v>
      </c>
      <c r="CH234">
        <v>683926.80476127402</v>
      </c>
      <c r="CI234">
        <v>7361.3852387259249</v>
      </c>
    </row>
    <row r="235" spans="13:87">
      <c r="M235">
        <v>211</v>
      </c>
      <c r="N235">
        <v>905586.84283883614</v>
      </c>
      <c r="O235">
        <v>41246.697161163902</v>
      </c>
      <c r="Y235">
        <v>211</v>
      </c>
      <c r="Z235">
        <v>693812.44639976567</v>
      </c>
      <c r="AA235">
        <v>253021.09360023437</v>
      </c>
      <c r="AK235">
        <v>211</v>
      </c>
      <c r="AL235">
        <v>927056.36016790033</v>
      </c>
      <c r="AM235">
        <v>19777.179832099704</v>
      </c>
      <c r="AW235">
        <v>211</v>
      </c>
      <c r="AX235">
        <v>688189.44557636115</v>
      </c>
      <c r="AY235">
        <v>258644.09442363889</v>
      </c>
      <c r="BI235">
        <v>211</v>
      </c>
      <c r="BJ235">
        <v>682501.31168965786</v>
      </c>
      <c r="BK235">
        <v>264332.22831034218</v>
      </c>
      <c r="BU235">
        <v>211</v>
      </c>
      <c r="BV235">
        <v>725037.1987272721</v>
      </c>
      <c r="BW235">
        <v>221796.34127272794</v>
      </c>
      <c r="CG235">
        <v>211</v>
      </c>
      <c r="CH235">
        <v>681812.85823426791</v>
      </c>
      <c r="CI235">
        <v>265020.68176573212</v>
      </c>
    </row>
    <row r="236" spans="13:87">
      <c r="M236">
        <v>212</v>
      </c>
      <c r="N236">
        <v>794342.74195434316</v>
      </c>
      <c r="O236">
        <v>-32379.511954343179</v>
      </c>
      <c r="Y236">
        <v>212</v>
      </c>
      <c r="Z236">
        <v>684933.69729791733</v>
      </c>
      <c r="AA236">
        <v>77029.532702082652</v>
      </c>
      <c r="AK236">
        <v>212</v>
      </c>
      <c r="AL236">
        <v>757216.07256564265</v>
      </c>
      <c r="AM236">
        <v>4747.1574343573302</v>
      </c>
      <c r="AW236">
        <v>212</v>
      </c>
      <c r="AX236">
        <v>677765.63545366609</v>
      </c>
      <c r="AY236">
        <v>84197.594546333887</v>
      </c>
      <c r="BI236">
        <v>212</v>
      </c>
      <c r="BJ236">
        <v>660395.67363513843</v>
      </c>
      <c r="BK236">
        <v>101567.55636486155</v>
      </c>
      <c r="BU236">
        <v>212</v>
      </c>
      <c r="BV236">
        <v>671411.86335849017</v>
      </c>
      <c r="BW236">
        <v>90551.366641509812</v>
      </c>
      <c r="CG236">
        <v>212</v>
      </c>
      <c r="CH236">
        <v>679698.91170726181</v>
      </c>
      <c r="CI236">
        <v>82264.318292738171</v>
      </c>
    </row>
    <row r="237" spans="13:87">
      <c r="M237">
        <v>213</v>
      </c>
      <c r="N237">
        <v>785530.268279401</v>
      </c>
      <c r="O237">
        <v>26622.331720598973</v>
      </c>
      <c r="Y237">
        <v>213</v>
      </c>
      <c r="Z237">
        <v>685211.15820735006</v>
      </c>
      <c r="AA237">
        <v>126941.44179264992</v>
      </c>
      <c r="AK237">
        <v>213</v>
      </c>
      <c r="AL237">
        <v>825152.18760654563</v>
      </c>
      <c r="AM237">
        <v>-12999.587606545654</v>
      </c>
      <c r="AW237">
        <v>213</v>
      </c>
      <c r="AX237">
        <v>683753.78169436322</v>
      </c>
      <c r="AY237">
        <v>128398.81830563676</v>
      </c>
      <c r="BI237">
        <v>213</v>
      </c>
      <c r="BJ237">
        <v>685166.53046218865</v>
      </c>
      <c r="BK237">
        <v>126986.06953781133</v>
      </c>
      <c r="BU237">
        <v>213</v>
      </c>
      <c r="BV237">
        <v>671411.86335849017</v>
      </c>
      <c r="BW237">
        <v>140740.73664150981</v>
      </c>
      <c r="CG237">
        <v>213</v>
      </c>
      <c r="CH237">
        <v>678641.93844375876</v>
      </c>
      <c r="CI237">
        <v>133510.66155624122</v>
      </c>
    </row>
    <row r="238" spans="13:87">
      <c r="M238">
        <v>214</v>
      </c>
      <c r="N238">
        <v>782212.21138964547</v>
      </c>
      <c r="O238">
        <v>22763.288610354532</v>
      </c>
      <c r="Y238">
        <v>214</v>
      </c>
      <c r="Z238">
        <v>677026.06137908367</v>
      </c>
      <c r="AA238">
        <v>127949.43862091633</v>
      </c>
      <c r="AK238">
        <v>214</v>
      </c>
      <c r="AL238">
        <v>774200.1013258684</v>
      </c>
      <c r="AM238">
        <v>30775.398674131604</v>
      </c>
      <c r="AW238">
        <v>214</v>
      </c>
      <c r="AX238">
        <v>686636.96321766183</v>
      </c>
      <c r="AY238">
        <v>118338.53678233817</v>
      </c>
      <c r="BI238">
        <v>214</v>
      </c>
      <c r="BJ238">
        <v>682893.25562679477</v>
      </c>
      <c r="BK238">
        <v>122082.24437320523</v>
      </c>
      <c r="BU238">
        <v>214</v>
      </c>
      <c r="BV238">
        <v>671411.86335849017</v>
      </c>
      <c r="BW238">
        <v>133563.63664150983</v>
      </c>
      <c r="CG238">
        <v>214</v>
      </c>
      <c r="CH238">
        <v>679170.42507551028</v>
      </c>
      <c r="CI238">
        <v>125805.07492448972</v>
      </c>
    </row>
    <row r="239" spans="13:87">
      <c r="M239">
        <v>215</v>
      </c>
      <c r="N239">
        <v>790489.514598498</v>
      </c>
      <c r="O239">
        <v>-38167.794598498032</v>
      </c>
      <c r="Y239">
        <v>215</v>
      </c>
      <c r="Z239">
        <v>697835.62958654074</v>
      </c>
      <c r="AA239">
        <v>54486.090413459227</v>
      </c>
      <c r="AK239">
        <v>215</v>
      </c>
      <c r="AL239">
        <v>774200.1013258684</v>
      </c>
      <c r="AM239">
        <v>-21878.381325868424</v>
      </c>
      <c r="AW239">
        <v>215</v>
      </c>
      <c r="AX239">
        <v>679983.46739466512</v>
      </c>
      <c r="AY239">
        <v>72338.252605334856</v>
      </c>
      <c r="BI239">
        <v>215</v>
      </c>
      <c r="BJ239">
        <v>685140.4008663795</v>
      </c>
      <c r="BK239">
        <v>67181.319133620476</v>
      </c>
      <c r="BU239">
        <v>215</v>
      </c>
      <c r="BV239">
        <v>671411.86335849017</v>
      </c>
      <c r="BW239">
        <v>80909.856641509803</v>
      </c>
      <c r="CG239">
        <v>215</v>
      </c>
      <c r="CH239">
        <v>676527.99191675265</v>
      </c>
      <c r="CI239">
        <v>75793.728083247319</v>
      </c>
    </row>
    <row r="240" spans="13:87">
      <c r="M240">
        <v>216</v>
      </c>
      <c r="N240">
        <v>846860.80369326996</v>
      </c>
      <c r="O240">
        <v>-9952.5636932699708</v>
      </c>
      <c r="Y240">
        <v>216</v>
      </c>
      <c r="Z240">
        <v>677442.25274323276</v>
      </c>
      <c r="AA240">
        <v>159465.98725676723</v>
      </c>
      <c r="AK240">
        <v>216</v>
      </c>
      <c r="AL240">
        <v>825152.18760654563</v>
      </c>
      <c r="AM240">
        <v>11756.05239345436</v>
      </c>
      <c r="AW240">
        <v>216</v>
      </c>
      <c r="AX240">
        <v>680870.60017106473</v>
      </c>
      <c r="AY240">
        <v>156037.63982893527</v>
      </c>
      <c r="BI240">
        <v>216</v>
      </c>
      <c r="BJ240">
        <v>686107.19591131713</v>
      </c>
      <c r="BK240">
        <v>150801.04408868286</v>
      </c>
      <c r="BU240">
        <v>216</v>
      </c>
      <c r="BV240">
        <v>671411.86335849017</v>
      </c>
      <c r="BW240">
        <v>165496.37664150982</v>
      </c>
      <c r="CG240">
        <v>216</v>
      </c>
      <c r="CH240">
        <v>675471.0186532496</v>
      </c>
      <c r="CI240">
        <v>161437.22134675039</v>
      </c>
    </row>
    <row r="241" spans="13:87">
      <c r="M241">
        <v>217</v>
      </c>
      <c r="N241">
        <v>638857.88253977604</v>
      </c>
      <c r="O241">
        <v>35431.217460223939</v>
      </c>
      <c r="Y241">
        <v>217</v>
      </c>
      <c r="Z241">
        <v>680355.59229227679</v>
      </c>
      <c r="AA241">
        <v>-6066.4922922768164</v>
      </c>
      <c r="AK241">
        <v>217</v>
      </c>
      <c r="AL241">
        <v>604359.81372361071</v>
      </c>
      <c r="AM241">
        <v>69929.286276389263</v>
      </c>
      <c r="AW241">
        <v>217</v>
      </c>
      <c r="AX241">
        <v>668672.52449557057</v>
      </c>
      <c r="AY241">
        <v>5616.5755044294056</v>
      </c>
      <c r="BI241">
        <v>217</v>
      </c>
      <c r="BJ241">
        <v>683938.43945915974</v>
      </c>
      <c r="BK241">
        <v>-9649.3394591597607</v>
      </c>
      <c r="BU241">
        <v>217</v>
      </c>
      <c r="BV241">
        <v>671411.86335849017</v>
      </c>
      <c r="BW241">
        <v>2877.2366415098077</v>
      </c>
      <c r="CG241">
        <v>217</v>
      </c>
      <c r="CH241">
        <v>683926.80476127402</v>
      </c>
      <c r="CI241">
        <v>-9637.7047612740425</v>
      </c>
    </row>
    <row r="242" spans="13:87">
      <c r="M242">
        <v>218</v>
      </c>
      <c r="N242">
        <v>625300.23073217273</v>
      </c>
      <c r="O242">
        <v>-2407.8107321726857</v>
      </c>
      <c r="Y242">
        <v>218</v>
      </c>
      <c r="Z242">
        <v>663707.93772631104</v>
      </c>
      <c r="AA242">
        <v>-40815.517726310994</v>
      </c>
      <c r="AK242">
        <v>218</v>
      </c>
      <c r="AL242">
        <v>689279.95752473956</v>
      </c>
      <c r="AM242">
        <v>-66387.537524739513</v>
      </c>
      <c r="AW242">
        <v>218</v>
      </c>
      <c r="AX242">
        <v>693955.80862295826</v>
      </c>
      <c r="AY242">
        <v>-71063.388622958213</v>
      </c>
      <c r="BI242">
        <v>218</v>
      </c>
      <c r="BJ242">
        <v>665464.81522210862</v>
      </c>
      <c r="BK242">
        <v>-42572.395222108578</v>
      </c>
      <c r="BU242">
        <v>218</v>
      </c>
      <c r="BV242">
        <v>671411.86335849017</v>
      </c>
      <c r="BW242">
        <v>-48519.443358490127</v>
      </c>
      <c r="CG242">
        <v>218</v>
      </c>
      <c r="CH242">
        <v>680755.88497076486</v>
      </c>
      <c r="CI242">
        <v>-57863.46497076482</v>
      </c>
    </row>
    <row r="243" spans="13:87">
      <c r="M243">
        <v>219</v>
      </c>
      <c r="N243">
        <v>605784.34773543838</v>
      </c>
      <c r="O243">
        <v>67564.212264561676</v>
      </c>
      <c r="Y243">
        <v>219</v>
      </c>
      <c r="Z243">
        <v>666066.3554564896</v>
      </c>
      <c r="AA243">
        <v>7282.2045435104519</v>
      </c>
      <c r="AK243">
        <v>219</v>
      </c>
      <c r="AL243">
        <v>638327.87124406232</v>
      </c>
      <c r="AM243">
        <v>35020.688755937736</v>
      </c>
      <c r="AW243">
        <v>219</v>
      </c>
      <c r="AX243">
        <v>685971.61363536213</v>
      </c>
      <c r="AY243">
        <v>-12623.05363536207</v>
      </c>
      <c r="BI243">
        <v>219</v>
      </c>
      <c r="BJ243">
        <v>687465.93489339156</v>
      </c>
      <c r="BK243">
        <v>-14117.374893391505</v>
      </c>
      <c r="BU243">
        <v>219</v>
      </c>
      <c r="BV243">
        <v>671411.86335849017</v>
      </c>
      <c r="BW243">
        <v>1936.6966415098868</v>
      </c>
      <c r="CG243">
        <v>219</v>
      </c>
      <c r="CH243">
        <v>681812.85823426791</v>
      </c>
      <c r="CI243">
        <v>-8464.2982342678588</v>
      </c>
    </row>
    <row r="244" spans="13:87">
      <c r="M244">
        <v>220</v>
      </c>
      <c r="N244">
        <v>613312.41229176545</v>
      </c>
      <c r="O244">
        <v>-7034.1122917653993</v>
      </c>
      <c r="Y244">
        <v>220</v>
      </c>
      <c r="Z244">
        <v>679384.47910926212</v>
      </c>
      <c r="AA244">
        <v>-73106.17910926207</v>
      </c>
      <c r="AK244">
        <v>220</v>
      </c>
      <c r="AL244">
        <v>587375.78496338497</v>
      </c>
      <c r="AM244">
        <v>18902.515036615077</v>
      </c>
      <c r="AW244">
        <v>220</v>
      </c>
      <c r="AX244">
        <v>697504.33972855657</v>
      </c>
      <c r="AY244">
        <v>-91226.039728556527</v>
      </c>
      <c r="BI244">
        <v>220</v>
      </c>
      <c r="BJ244">
        <v>684382.64258791495</v>
      </c>
      <c r="BK244">
        <v>-78104.3425879149</v>
      </c>
      <c r="BU244">
        <v>220</v>
      </c>
      <c r="BV244">
        <v>671411.86335849017</v>
      </c>
      <c r="BW244">
        <v>-65133.563358490122</v>
      </c>
      <c r="CG244">
        <v>220</v>
      </c>
      <c r="CH244">
        <v>680755.88497076486</v>
      </c>
      <c r="CI244">
        <v>-74477.584970764816</v>
      </c>
    </row>
    <row r="245" spans="13:87">
      <c r="M245">
        <v>221</v>
      </c>
      <c r="N245">
        <v>706539.10748457501</v>
      </c>
      <c r="O245">
        <v>5680.7025154250441</v>
      </c>
      <c r="Y245">
        <v>221</v>
      </c>
      <c r="Z245">
        <v>677580.98319794913</v>
      </c>
      <c r="AA245">
        <v>34638.826802050928</v>
      </c>
      <c r="AK245">
        <v>221</v>
      </c>
      <c r="AL245">
        <v>706263.98628496542</v>
      </c>
      <c r="AM245">
        <v>5955.8237150346395</v>
      </c>
      <c r="AW245">
        <v>221</v>
      </c>
      <c r="AX245">
        <v>685749.83044126222</v>
      </c>
      <c r="AY245">
        <v>26469.979558737832</v>
      </c>
      <c r="BI245">
        <v>221</v>
      </c>
      <c r="BJ245">
        <v>675916.65354575845</v>
      </c>
      <c r="BK245">
        <v>36303.156454241602</v>
      </c>
      <c r="BU245">
        <v>221</v>
      </c>
      <c r="BV245">
        <v>725037.1987272721</v>
      </c>
      <c r="BW245">
        <v>-12817.388727272046</v>
      </c>
      <c r="CG245">
        <v>221</v>
      </c>
      <c r="CH245">
        <v>681284.37160251639</v>
      </c>
      <c r="CI245">
        <v>30935.438397483667</v>
      </c>
    </row>
    <row r="246" spans="13:87">
      <c r="M246">
        <v>222</v>
      </c>
      <c r="N246">
        <v>710570.72499578341</v>
      </c>
      <c r="O246">
        <v>-37900.184995783377</v>
      </c>
      <c r="Y246">
        <v>222</v>
      </c>
      <c r="Z246">
        <v>685627.34957149928</v>
      </c>
      <c r="AA246">
        <v>-12956.809571499238</v>
      </c>
      <c r="AK246">
        <v>222</v>
      </c>
      <c r="AL246">
        <v>706263.98628496542</v>
      </c>
      <c r="AM246">
        <v>-33593.446284965379</v>
      </c>
      <c r="AW246">
        <v>222</v>
      </c>
      <c r="AX246">
        <v>684862.69766486273</v>
      </c>
      <c r="AY246">
        <v>-12192.157664862694</v>
      </c>
      <c r="BI246">
        <v>222</v>
      </c>
      <c r="BJ246">
        <v>689347.26579164865</v>
      </c>
      <c r="BK246">
        <v>-16676.725791648612</v>
      </c>
      <c r="BU246">
        <v>222</v>
      </c>
      <c r="BV246">
        <v>671411.86335849017</v>
      </c>
      <c r="BW246">
        <v>1258.6766415098682</v>
      </c>
      <c r="CG246">
        <v>222</v>
      </c>
      <c r="CH246">
        <v>683398.31812952249</v>
      </c>
      <c r="CI246">
        <v>-10727.778129522456</v>
      </c>
    </row>
    <row r="247" spans="13:87">
      <c r="M247">
        <v>223</v>
      </c>
      <c r="N247">
        <v>727553.4677863603</v>
      </c>
      <c r="O247">
        <v>5114.4522136397427</v>
      </c>
      <c r="Y247">
        <v>223</v>
      </c>
      <c r="Z247">
        <v>681742.89683944057</v>
      </c>
      <c r="AA247">
        <v>50925.023160559474</v>
      </c>
      <c r="AK247">
        <v>223</v>
      </c>
      <c r="AL247">
        <v>723248.01504519116</v>
      </c>
      <c r="AM247">
        <v>9419.9049548088806</v>
      </c>
      <c r="AW247">
        <v>223</v>
      </c>
      <c r="AX247">
        <v>685306.26405306254</v>
      </c>
      <c r="AY247">
        <v>47361.655946937506</v>
      </c>
      <c r="BI247">
        <v>223</v>
      </c>
      <c r="BJ247">
        <v>680724.49917463749</v>
      </c>
      <c r="BK247">
        <v>51943.420825362555</v>
      </c>
      <c r="BU247">
        <v>223</v>
      </c>
      <c r="BV247">
        <v>671411.86335849017</v>
      </c>
      <c r="BW247">
        <v>61256.056641509873</v>
      </c>
      <c r="CG247">
        <v>223</v>
      </c>
      <c r="CH247">
        <v>683926.80476127402</v>
      </c>
      <c r="CI247">
        <v>48741.115238726023</v>
      </c>
    </row>
    <row r="248" spans="13:87">
      <c r="M248">
        <v>224</v>
      </c>
      <c r="N248">
        <v>759413.94953422819</v>
      </c>
      <c r="O248">
        <v>-35882.549534228165</v>
      </c>
      <c r="Y248">
        <v>224</v>
      </c>
      <c r="Z248">
        <v>692980.06367146748</v>
      </c>
      <c r="AA248">
        <v>30551.336328532547</v>
      </c>
      <c r="AK248">
        <v>224</v>
      </c>
      <c r="AL248">
        <v>757216.07256564265</v>
      </c>
      <c r="AM248">
        <v>-33684.672565642628</v>
      </c>
      <c r="AW248">
        <v>224</v>
      </c>
      <c r="AX248">
        <v>671999.27240706899</v>
      </c>
      <c r="AY248">
        <v>51532.127592931036</v>
      </c>
      <c r="BI248">
        <v>224</v>
      </c>
      <c r="BJ248">
        <v>675028.24728824827</v>
      </c>
      <c r="BK248">
        <v>48503.152711751754</v>
      </c>
      <c r="BU248">
        <v>224</v>
      </c>
      <c r="BV248">
        <v>671411.86335849017</v>
      </c>
      <c r="BW248">
        <v>52119.536641509854</v>
      </c>
      <c r="CG248">
        <v>224</v>
      </c>
      <c r="CH248">
        <v>682341.34486601944</v>
      </c>
      <c r="CI248">
        <v>41190.055133980582</v>
      </c>
    </row>
    <row r="249" spans="13:87">
      <c r="M249">
        <v>225</v>
      </c>
      <c r="N249">
        <v>614561.14337930793</v>
      </c>
      <c r="O249">
        <v>27003.456620692043</v>
      </c>
      <c r="Y249">
        <v>225</v>
      </c>
      <c r="Z249">
        <v>670366.99955269741</v>
      </c>
      <c r="AA249">
        <v>-28802.399552697432</v>
      </c>
      <c r="AK249">
        <v>225</v>
      </c>
      <c r="AL249">
        <v>655311.90000428807</v>
      </c>
      <c r="AM249">
        <v>-13747.300004288089</v>
      </c>
      <c r="AW249">
        <v>225</v>
      </c>
      <c r="AX249">
        <v>668007.17491327086</v>
      </c>
      <c r="AY249">
        <v>-26442.574913270888</v>
      </c>
      <c r="BI249">
        <v>225</v>
      </c>
      <c r="BJ249">
        <v>681848.07179442979</v>
      </c>
      <c r="BK249">
        <v>-40283.471794429817</v>
      </c>
      <c r="BU249">
        <v>225</v>
      </c>
      <c r="BV249">
        <v>725037.1987272721</v>
      </c>
      <c r="BW249">
        <v>-83472.598727272125</v>
      </c>
      <c r="CG249">
        <v>225</v>
      </c>
      <c r="CH249">
        <v>685512.2646565286</v>
      </c>
      <c r="CI249">
        <v>-43947.664656528621</v>
      </c>
    </row>
    <row r="250" spans="13:87">
      <c r="M250">
        <v>226</v>
      </c>
      <c r="N250">
        <v>547807.54724239768</v>
      </c>
      <c r="O250">
        <v>-11262.057242397685</v>
      </c>
      <c r="Y250">
        <v>226</v>
      </c>
      <c r="Z250">
        <v>682297.81865830615</v>
      </c>
      <c r="AA250">
        <v>-145752.32865830616</v>
      </c>
      <c r="AK250">
        <v>226</v>
      </c>
      <c r="AL250">
        <v>570391.75620315922</v>
      </c>
      <c r="AM250">
        <v>-33846.266203159234</v>
      </c>
      <c r="AW250">
        <v>226</v>
      </c>
      <c r="AX250">
        <v>661131.89589617425</v>
      </c>
      <c r="AY250">
        <v>-124586.40589617426</v>
      </c>
      <c r="BI250">
        <v>226</v>
      </c>
      <c r="BJ250">
        <v>678242.18757277052</v>
      </c>
      <c r="BK250">
        <v>-141696.69757277053</v>
      </c>
      <c r="BU250">
        <v>226</v>
      </c>
      <c r="BV250">
        <v>671411.86335849017</v>
      </c>
      <c r="BW250">
        <v>-134866.37335849018</v>
      </c>
      <c r="CG250">
        <v>226</v>
      </c>
      <c r="CH250">
        <v>683398.31812952249</v>
      </c>
      <c r="CI250">
        <v>-146852.8281295225</v>
      </c>
    </row>
    <row r="251" spans="13:87">
      <c r="M251">
        <v>227</v>
      </c>
      <c r="N251">
        <v>584555.91924721724</v>
      </c>
      <c r="O251">
        <v>-56874.359247217188</v>
      </c>
      <c r="Y251">
        <v>227</v>
      </c>
      <c r="Z251">
        <v>674112.72183003963</v>
      </c>
      <c r="AA251">
        <v>-146431.16183003958</v>
      </c>
      <c r="AK251">
        <v>227</v>
      </c>
      <c r="AL251">
        <v>604359.81372361071</v>
      </c>
      <c r="AM251">
        <v>-76678.253723610658</v>
      </c>
      <c r="AW251">
        <v>227</v>
      </c>
      <c r="AX251">
        <v>669337.87407787028</v>
      </c>
      <c r="AY251">
        <v>-141656.31407787022</v>
      </c>
      <c r="BI251">
        <v>227</v>
      </c>
      <c r="BJ251">
        <v>651772.90701812715</v>
      </c>
      <c r="BK251">
        <v>-124091.3470181271</v>
      </c>
      <c r="BU251">
        <v>227</v>
      </c>
      <c r="BV251">
        <v>671411.86335849017</v>
      </c>
      <c r="BW251">
        <v>-143730.30335849011</v>
      </c>
      <c r="CG251">
        <v>227</v>
      </c>
      <c r="CH251">
        <v>683926.80476127402</v>
      </c>
      <c r="CI251">
        <v>-156245.24476127396</v>
      </c>
    </row>
    <row r="252" spans="13:87">
      <c r="M252">
        <v>228</v>
      </c>
      <c r="N252">
        <v>495467.87565883406</v>
      </c>
      <c r="O252">
        <v>34131.064341165882</v>
      </c>
      <c r="Y252">
        <v>228</v>
      </c>
      <c r="Z252">
        <v>684933.69729791733</v>
      </c>
      <c r="AA252">
        <v>-155334.75729791739</v>
      </c>
      <c r="AK252">
        <v>228</v>
      </c>
      <c r="AL252">
        <v>485471.61240203038</v>
      </c>
      <c r="AM252">
        <v>44127.327597969561</v>
      </c>
      <c r="AW252">
        <v>228</v>
      </c>
      <c r="AX252">
        <v>695508.29098165757</v>
      </c>
      <c r="AY252">
        <v>-165909.35098165763</v>
      </c>
      <c r="BI252">
        <v>228</v>
      </c>
      <c r="BJ252">
        <v>678581.87231828924</v>
      </c>
      <c r="BK252">
        <v>-148982.9323182893</v>
      </c>
      <c r="BU252">
        <v>228</v>
      </c>
      <c r="BV252">
        <v>671411.86335849017</v>
      </c>
      <c r="BW252">
        <v>-141812.92335849022</v>
      </c>
      <c r="CG252">
        <v>228</v>
      </c>
      <c r="CH252">
        <v>680755.88497076486</v>
      </c>
      <c r="CI252">
        <v>-151156.94497076492</v>
      </c>
    </row>
    <row r="253" spans="13:87">
      <c r="M253">
        <v>229</v>
      </c>
      <c r="N253">
        <v>658944.61403367261</v>
      </c>
      <c r="O253">
        <v>-87981.304033672553</v>
      </c>
      <c r="Y253">
        <v>229</v>
      </c>
      <c r="Z253">
        <v>687985.76730167773</v>
      </c>
      <c r="AA253">
        <v>-117022.45730167767</v>
      </c>
      <c r="AK253">
        <v>229</v>
      </c>
      <c r="AL253">
        <v>604359.81372361071</v>
      </c>
      <c r="AM253">
        <v>-33396.503723610658</v>
      </c>
      <c r="AW253">
        <v>229</v>
      </c>
      <c r="AX253">
        <v>675326.02031856729</v>
      </c>
      <c r="AY253">
        <v>-104362.71031856723</v>
      </c>
      <c r="BI253">
        <v>229</v>
      </c>
      <c r="BJ253">
        <v>691516.02224380593</v>
      </c>
      <c r="BK253">
        <v>-120552.71224380587</v>
      </c>
      <c r="BU253">
        <v>229</v>
      </c>
      <c r="BV253">
        <v>671411.86335849017</v>
      </c>
      <c r="BW253">
        <v>-100448.55335849011</v>
      </c>
      <c r="CG253">
        <v>229</v>
      </c>
      <c r="CH253">
        <v>681284.37160251639</v>
      </c>
      <c r="CI253">
        <v>-110321.06160251633</v>
      </c>
    </row>
    <row r="254" spans="13:87">
      <c r="M254">
        <v>230</v>
      </c>
      <c r="N254">
        <v>766121.41937588458</v>
      </c>
      <c r="O254">
        <v>104815.98062411544</v>
      </c>
      <c r="Y254">
        <v>230</v>
      </c>
      <c r="Z254">
        <v>669812.07773383183</v>
      </c>
      <c r="AA254">
        <v>201125.32226616819</v>
      </c>
      <c r="AK254">
        <v>230</v>
      </c>
      <c r="AL254">
        <v>808168.15884631989</v>
      </c>
      <c r="AM254">
        <v>62769.241153680137</v>
      </c>
      <c r="AW254">
        <v>230</v>
      </c>
      <c r="AX254">
        <v>675991.36990086699</v>
      </c>
      <c r="AY254">
        <v>194946.03009913303</v>
      </c>
      <c r="BI254">
        <v>230</v>
      </c>
      <c r="BJ254">
        <v>635964.50155360671</v>
      </c>
      <c r="BK254">
        <v>234972.89844639332</v>
      </c>
      <c r="BU254">
        <v>230</v>
      </c>
      <c r="BV254">
        <v>671411.86335849017</v>
      </c>
      <c r="BW254">
        <v>199525.53664150985</v>
      </c>
      <c r="CG254">
        <v>230</v>
      </c>
      <c r="CH254">
        <v>680227.39833901334</v>
      </c>
      <c r="CI254">
        <v>190710.00166098669</v>
      </c>
    </row>
    <row r="255" spans="13:87">
      <c r="M255">
        <v>231</v>
      </c>
      <c r="N255">
        <v>679923.29630438518</v>
      </c>
      <c r="O255">
        <v>-82954.026304385159</v>
      </c>
      <c r="Y255">
        <v>231</v>
      </c>
      <c r="Z255">
        <v>674390.18273947237</v>
      </c>
      <c r="AA255">
        <v>-77420.912739472347</v>
      </c>
      <c r="AK255">
        <v>231</v>
      </c>
      <c r="AL255">
        <v>655311.90000428807</v>
      </c>
      <c r="AM255">
        <v>-58342.630004288047</v>
      </c>
      <c r="AW255">
        <v>231</v>
      </c>
      <c r="AX255">
        <v>671999.27240706899</v>
      </c>
      <c r="AY255">
        <v>-75030.002407068969</v>
      </c>
      <c r="BI255">
        <v>231</v>
      </c>
      <c r="BJ255">
        <v>686002.67752808065</v>
      </c>
      <c r="BK255">
        <v>-89033.407528080628</v>
      </c>
      <c r="BU255">
        <v>231</v>
      </c>
      <c r="BV255">
        <v>671411.86335849017</v>
      </c>
      <c r="BW255">
        <v>-74442.59335849015</v>
      </c>
      <c r="CG255">
        <v>231</v>
      </c>
      <c r="CH255">
        <v>680755.88497076486</v>
      </c>
      <c r="CI255">
        <v>-83786.614970764844</v>
      </c>
    </row>
    <row r="256" spans="13:87">
      <c r="M256">
        <v>232</v>
      </c>
      <c r="N256">
        <v>641105.59849735245</v>
      </c>
      <c r="O256">
        <v>6407.2515026475303</v>
      </c>
      <c r="Y256">
        <v>232</v>
      </c>
      <c r="Z256">
        <v>697835.62958654074</v>
      </c>
      <c r="AA256">
        <v>-50322.779586540768</v>
      </c>
      <c r="AK256">
        <v>232</v>
      </c>
      <c r="AL256">
        <v>587375.78496338497</v>
      </c>
      <c r="AM256">
        <v>60137.065036615008</v>
      </c>
      <c r="AW256">
        <v>232</v>
      </c>
      <c r="AX256">
        <v>696395.42375805706</v>
      </c>
      <c r="AY256">
        <v>-48882.573758057086</v>
      </c>
      <c r="BI256">
        <v>232</v>
      </c>
      <c r="BJ256">
        <v>683690.20829897304</v>
      </c>
      <c r="BK256">
        <v>-36177.358298973064</v>
      </c>
      <c r="BU256">
        <v>232</v>
      </c>
      <c r="BV256">
        <v>671411.86335849017</v>
      </c>
      <c r="BW256">
        <v>-23899.013358490192</v>
      </c>
      <c r="CG256">
        <v>232</v>
      </c>
      <c r="CH256">
        <v>681812.85823426791</v>
      </c>
      <c r="CI256">
        <v>-34300.008234267938</v>
      </c>
    </row>
    <row r="257" spans="13:87">
      <c r="M257">
        <v>233</v>
      </c>
      <c r="N257">
        <v>598541.70742769237</v>
      </c>
      <c r="O257">
        <v>59530.432572307647</v>
      </c>
      <c r="Y257">
        <v>233</v>
      </c>
      <c r="Z257">
        <v>688263.22821111046</v>
      </c>
      <c r="AA257">
        <v>-30191.088211110444</v>
      </c>
      <c r="AK257">
        <v>233</v>
      </c>
      <c r="AL257">
        <v>621343.84248383646</v>
      </c>
      <c r="AM257">
        <v>36728.297516163555</v>
      </c>
      <c r="AW257">
        <v>233</v>
      </c>
      <c r="AX257">
        <v>696173.64056395716</v>
      </c>
      <c r="AY257">
        <v>-38101.500563957146</v>
      </c>
      <c r="BI257">
        <v>233</v>
      </c>
      <c r="BJ257">
        <v>690261.80164496799</v>
      </c>
      <c r="BK257">
        <v>-32189.661644967971</v>
      </c>
      <c r="BU257">
        <v>233</v>
      </c>
      <c r="BV257">
        <v>671411.86335849017</v>
      </c>
      <c r="BW257">
        <v>-13339.723358490155</v>
      </c>
      <c r="CG257">
        <v>233</v>
      </c>
      <c r="CH257">
        <v>678641.93844375876</v>
      </c>
      <c r="CI257">
        <v>-20569.798443758744</v>
      </c>
    </row>
    <row r="258" spans="13:87">
      <c r="M258">
        <v>234</v>
      </c>
      <c r="N258">
        <v>636253.38627147325</v>
      </c>
      <c r="O258">
        <v>87051.723728526733</v>
      </c>
      <c r="Y258">
        <v>234</v>
      </c>
      <c r="Z258">
        <v>680355.59229227679</v>
      </c>
      <c r="AA258">
        <v>42949.517707723193</v>
      </c>
      <c r="AK258">
        <v>234</v>
      </c>
      <c r="AL258">
        <v>689279.95752473956</v>
      </c>
      <c r="AM258">
        <v>34025.152475260431</v>
      </c>
      <c r="AW258">
        <v>234</v>
      </c>
      <c r="AX258">
        <v>682644.86572386383</v>
      </c>
      <c r="AY258">
        <v>40660.24427613616</v>
      </c>
      <c r="BI258">
        <v>234</v>
      </c>
      <c r="BJ258">
        <v>686917.21338139998</v>
      </c>
      <c r="BK258">
        <v>36387.896618600003</v>
      </c>
      <c r="BU258">
        <v>234</v>
      </c>
      <c r="BV258">
        <v>671411.86335849017</v>
      </c>
      <c r="BW258">
        <v>51893.246641509817</v>
      </c>
      <c r="CG258">
        <v>234</v>
      </c>
      <c r="CH258">
        <v>680227.39833901334</v>
      </c>
      <c r="CI258">
        <v>43077.71166098665</v>
      </c>
    </row>
    <row r="259" spans="13:87">
      <c r="M259">
        <v>235</v>
      </c>
      <c r="N259">
        <v>641890.51518095052</v>
      </c>
      <c r="O259">
        <v>-1223.9851809504908</v>
      </c>
      <c r="Y259">
        <v>235</v>
      </c>
      <c r="Z259">
        <v>691176.56776015449</v>
      </c>
      <c r="AA259">
        <v>-50510.037760154461</v>
      </c>
      <c r="AK259">
        <v>235</v>
      </c>
      <c r="AL259">
        <v>672295.92876451381</v>
      </c>
      <c r="AM259">
        <v>-31629.398764513782</v>
      </c>
      <c r="AW259">
        <v>235</v>
      </c>
      <c r="AX259">
        <v>664902.21019587247</v>
      </c>
      <c r="AY259">
        <v>-24235.680195872439</v>
      </c>
      <c r="BI259">
        <v>235</v>
      </c>
      <c r="BJ259">
        <v>688667.89630061132</v>
      </c>
      <c r="BK259">
        <v>-48001.366300611291</v>
      </c>
      <c r="BU259">
        <v>235</v>
      </c>
      <c r="BV259">
        <v>671411.86335849017</v>
      </c>
      <c r="BW259">
        <v>-30745.333358490141</v>
      </c>
      <c r="CG259">
        <v>235</v>
      </c>
      <c r="CH259">
        <v>677584.96518025571</v>
      </c>
      <c r="CI259">
        <v>-36918.435180255678</v>
      </c>
    </row>
    <row r="260" spans="13:87">
      <c r="M260">
        <v>236</v>
      </c>
      <c r="N260">
        <v>666508.35662107239</v>
      </c>
      <c r="O260">
        <v>4121.1233789275866</v>
      </c>
      <c r="Y260">
        <v>236</v>
      </c>
      <c r="Z260">
        <v>681326.70547529147</v>
      </c>
      <c r="AA260">
        <v>-10697.225475291489</v>
      </c>
      <c r="AK260">
        <v>236</v>
      </c>
      <c r="AL260">
        <v>689279.95752473956</v>
      </c>
      <c r="AM260">
        <v>-18650.477524739574</v>
      </c>
      <c r="AW260">
        <v>236</v>
      </c>
      <c r="AX260">
        <v>689298.36154686054</v>
      </c>
      <c r="AY260">
        <v>-18668.881546860561</v>
      </c>
      <c r="BI260">
        <v>236</v>
      </c>
      <c r="BJ260">
        <v>684591.67935438792</v>
      </c>
      <c r="BK260">
        <v>-13962.199354387936</v>
      </c>
      <c r="BU260">
        <v>236</v>
      </c>
      <c r="BV260">
        <v>671411.86335849017</v>
      </c>
      <c r="BW260">
        <v>-782.38335849018767</v>
      </c>
      <c r="CG260">
        <v>236</v>
      </c>
      <c r="CH260">
        <v>679698.91170726181</v>
      </c>
      <c r="CI260">
        <v>-9069.4317072618287</v>
      </c>
    </row>
    <row r="261" spans="13:87">
      <c r="M261">
        <v>237</v>
      </c>
      <c r="N261">
        <v>799908.5148016751</v>
      </c>
      <c r="O261">
        <v>-78829.164801675128</v>
      </c>
      <c r="Y261">
        <v>237</v>
      </c>
      <c r="Z261">
        <v>681049.24456585874</v>
      </c>
      <c r="AA261">
        <v>40030.105434141238</v>
      </c>
      <c r="AK261">
        <v>237</v>
      </c>
      <c r="AL261">
        <v>774200.1013258684</v>
      </c>
      <c r="AM261">
        <v>-53120.751325868419</v>
      </c>
      <c r="AW261">
        <v>237</v>
      </c>
      <c r="AX261">
        <v>683088.43211206351</v>
      </c>
      <c r="AY261">
        <v>37990.917887936463</v>
      </c>
      <c r="BI261">
        <v>237</v>
      </c>
      <c r="BJ261">
        <v>684069.08743820537</v>
      </c>
      <c r="BK261">
        <v>37010.262561794603</v>
      </c>
      <c r="BU261">
        <v>237</v>
      </c>
      <c r="BV261">
        <v>671411.86335849017</v>
      </c>
      <c r="BW261">
        <v>49667.486641509808</v>
      </c>
      <c r="CG261">
        <v>237</v>
      </c>
      <c r="CH261">
        <v>681812.85823426791</v>
      </c>
      <c r="CI261">
        <v>39266.491765732062</v>
      </c>
    </row>
    <row r="262" spans="13:87">
      <c r="M262">
        <v>238</v>
      </c>
      <c r="N262">
        <v>803048.18153606751</v>
      </c>
      <c r="O262">
        <v>7306.8384639325086</v>
      </c>
      <c r="Y262">
        <v>238</v>
      </c>
      <c r="Z262">
        <v>683130.20138660434</v>
      </c>
      <c r="AA262">
        <v>127224.81861339568</v>
      </c>
      <c r="AK262">
        <v>238</v>
      </c>
      <c r="AL262">
        <v>774200.1013258684</v>
      </c>
      <c r="AM262">
        <v>36154.918674131623</v>
      </c>
      <c r="AW262">
        <v>238</v>
      </c>
      <c r="AX262">
        <v>682423.08252976392</v>
      </c>
      <c r="AY262">
        <v>127931.93747023609</v>
      </c>
      <c r="BI262">
        <v>238</v>
      </c>
      <c r="BJ262">
        <v>651563.87025165418</v>
      </c>
      <c r="BK262">
        <v>158791.14974834584</v>
      </c>
      <c r="BU262">
        <v>238</v>
      </c>
      <c r="BV262">
        <v>671411.86335849017</v>
      </c>
      <c r="BW262">
        <v>138943.15664150985</v>
      </c>
      <c r="CG262">
        <v>238</v>
      </c>
      <c r="CH262">
        <v>683398.31812952249</v>
      </c>
      <c r="CI262">
        <v>126956.70187047753</v>
      </c>
    </row>
    <row r="263" spans="13:87">
      <c r="M263">
        <v>239</v>
      </c>
      <c r="N263">
        <v>792558.84040071117</v>
      </c>
      <c r="O263">
        <v>-30639.590400711168</v>
      </c>
      <c r="Y263">
        <v>239</v>
      </c>
      <c r="Z263">
        <v>669950.8081885482</v>
      </c>
      <c r="AA263">
        <v>91968.441811451805</v>
      </c>
      <c r="AK263">
        <v>239</v>
      </c>
      <c r="AL263">
        <v>791184.13008609414</v>
      </c>
      <c r="AM263">
        <v>-29264.880086094141</v>
      </c>
      <c r="AW263">
        <v>239</v>
      </c>
      <c r="AX263">
        <v>664236.86061357276</v>
      </c>
      <c r="AY263">
        <v>97682.38938642724</v>
      </c>
      <c r="BI263">
        <v>239</v>
      </c>
      <c r="BJ263">
        <v>674296.61860559275</v>
      </c>
      <c r="BK263">
        <v>87622.631394407246</v>
      </c>
      <c r="BU263">
        <v>239</v>
      </c>
      <c r="BV263">
        <v>671411.86335849017</v>
      </c>
      <c r="BW263">
        <v>90507.386641509831</v>
      </c>
      <c r="CG263">
        <v>239</v>
      </c>
      <c r="CH263">
        <v>684455.29139302555</v>
      </c>
      <c r="CI263">
        <v>77463.958606974455</v>
      </c>
    </row>
    <row r="264" spans="13:87">
      <c r="M264">
        <v>240</v>
      </c>
      <c r="N264">
        <v>778715.76434452669</v>
      </c>
      <c r="O264">
        <v>-41645.584344526636</v>
      </c>
      <c r="Y264">
        <v>240</v>
      </c>
      <c r="Z264">
        <v>672031.76500929391</v>
      </c>
      <c r="AA264">
        <v>65038.414990706136</v>
      </c>
      <c r="AK264">
        <v>240</v>
      </c>
      <c r="AL264">
        <v>757216.07256564265</v>
      </c>
      <c r="AM264">
        <v>-20145.8925656426</v>
      </c>
      <c r="AW264">
        <v>240</v>
      </c>
      <c r="AX264">
        <v>670446.79004836967</v>
      </c>
      <c r="AY264">
        <v>66623.389951630379</v>
      </c>
      <c r="BI264">
        <v>240</v>
      </c>
      <c r="BJ264">
        <v>680410.94402492791</v>
      </c>
      <c r="BK264">
        <v>56659.235975072137</v>
      </c>
      <c r="BU264">
        <v>240</v>
      </c>
      <c r="BV264">
        <v>671411.86335849017</v>
      </c>
      <c r="BW264">
        <v>65658.316641509882</v>
      </c>
      <c r="CG264">
        <v>240</v>
      </c>
      <c r="CH264">
        <v>683926.80476127402</v>
      </c>
      <c r="CI264">
        <v>53143.375238726032</v>
      </c>
    </row>
    <row r="265" spans="13:87">
      <c r="M265">
        <v>241</v>
      </c>
      <c r="N265">
        <v>733797.12322407239</v>
      </c>
      <c r="O265">
        <v>43195.80677592766</v>
      </c>
      <c r="Y265">
        <v>241</v>
      </c>
      <c r="Z265">
        <v>658852.37181123777</v>
      </c>
      <c r="AA265">
        <v>118140.55818876228</v>
      </c>
      <c r="AK265">
        <v>241</v>
      </c>
      <c r="AL265">
        <v>774200.1013258684</v>
      </c>
      <c r="AM265">
        <v>2792.8286741316551</v>
      </c>
      <c r="AW265">
        <v>241</v>
      </c>
      <c r="AX265">
        <v>674660.6707362677</v>
      </c>
      <c r="AY265">
        <v>102332.25926373235</v>
      </c>
      <c r="BI265">
        <v>241</v>
      </c>
      <c r="BJ265">
        <v>664576.40896459832</v>
      </c>
      <c r="BK265">
        <v>112416.52103540173</v>
      </c>
      <c r="BU265">
        <v>241</v>
      </c>
      <c r="BV265">
        <v>725037.1987272721</v>
      </c>
      <c r="BW265">
        <v>51955.73127272795</v>
      </c>
      <c r="CG265">
        <v>241</v>
      </c>
      <c r="CH265">
        <v>686040.75128828012</v>
      </c>
      <c r="CI265">
        <v>90952.178711719927</v>
      </c>
    </row>
    <row r="266" spans="13:87">
      <c r="M266">
        <v>242</v>
      </c>
      <c r="N266">
        <v>647920.10243222676</v>
      </c>
      <c r="O266">
        <v>28417.30756777327</v>
      </c>
      <c r="Y266">
        <v>242</v>
      </c>
      <c r="Z266">
        <v>689650.53275827423</v>
      </c>
      <c r="AA266">
        <v>-13313.122758274199</v>
      </c>
      <c r="AK266">
        <v>242</v>
      </c>
      <c r="AL266">
        <v>621343.84248383646</v>
      </c>
      <c r="AM266">
        <v>54993.567516163574</v>
      </c>
      <c r="AW266">
        <v>242</v>
      </c>
      <c r="AX266">
        <v>674438.88754216779</v>
      </c>
      <c r="AY266">
        <v>1898.5224578322377</v>
      </c>
      <c r="BI266">
        <v>242</v>
      </c>
      <c r="BJ266">
        <v>681926.46058185713</v>
      </c>
      <c r="BK266">
        <v>-5589.0505818570964</v>
      </c>
      <c r="BU266">
        <v>242</v>
      </c>
      <c r="BV266">
        <v>671411.86335849017</v>
      </c>
      <c r="BW266">
        <v>4925.5466415098635</v>
      </c>
      <c r="CG266">
        <v>242</v>
      </c>
      <c r="CH266">
        <v>681812.85823426791</v>
      </c>
      <c r="CI266">
        <v>-5475.4482342678821</v>
      </c>
    </row>
    <row r="267" spans="13:87">
      <c r="M267">
        <v>243</v>
      </c>
      <c r="N267">
        <v>805902.42402187875</v>
      </c>
      <c r="O267">
        <v>22317.245978121297</v>
      </c>
      <c r="Y267">
        <v>243</v>
      </c>
      <c r="Z267">
        <v>676748.60046965093</v>
      </c>
      <c r="AA267">
        <v>151471.06953034911</v>
      </c>
      <c r="AK267">
        <v>243</v>
      </c>
      <c r="AL267">
        <v>808168.15884631989</v>
      </c>
      <c r="AM267">
        <v>20051.511153680156</v>
      </c>
      <c r="AW267">
        <v>243</v>
      </c>
      <c r="AX267">
        <v>672886.40518346848</v>
      </c>
      <c r="AY267">
        <v>155333.26481653156</v>
      </c>
      <c r="BI267">
        <v>243</v>
      </c>
      <c r="BJ267">
        <v>687596.5828724372</v>
      </c>
      <c r="BK267">
        <v>140623.08712756285</v>
      </c>
      <c r="BU267">
        <v>243</v>
      </c>
      <c r="BV267">
        <v>671411.86335849017</v>
      </c>
      <c r="BW267">
        <v>156807.80664150987</v>
      </c>
      <c r="CG267">
        <v>243</v>
      </c>
      <c r="CH267">
        <v>682869.83149777097</v>
      </c>
      <c r="CI267">
        <v>145349.83850222907</v>
      </c>
    </row>
    <row r="268" spans="13:87">
      <c r="M268">
        <v>244</v>
      </c>
      <c r="N268">
        <v>731977.54363936768</v>
      </c>
      <c r="O268">
        <v>31182.376360632363</v>
      </c>
      <c r="Y268">
        <v>244</v>
      </c>
      <c r="Z268">
        <v>697835.62958654074</v>
      </c>
      <c r="AA268">
        <v>65324.290413459297</v>
      </c>
      <c r="AK268">
        <v>244</v>
      </c>
      <c r="AL268">
        <v>757216.07256564265</v>
      </c>
      <c r="AM268">
        <v>5943.8474343573907</v>
      </c>
      <c r="AW268">
        <v>244</v>
      </c>
      <c r="AX268">
        <v>695951.85736985737</v>
      </c>
      <c r="AY268">
        <v>67208.062630142667</v>
      </c>
      <c r="BI268">
        <v>244</v>
      </c>
      <c r="BJ268">
        <v>685088.14167476131</v>
      </c>
      <c r="BK268">
        <v>78071.778325238731</v>
      </c>
      <c r="BU268">
        <v>244</v>
      </c>
      <c r="BV268">
        <v>671411.86335849017</v>
      </c>
      <c r="BW268">
        <v>91748.056641509873</v>
      </c>
      <c r="CG268">
        <v>244</v>
      </c>
      <c r="CH268">
        <v>685512.2646565286</v>
      </c>
      <c r="CI268">
        <v>77647.655343471444</v>
      </c>
    </row>
    <row r="269" spans="13:87">
      <c r="M269">
        <v>245</v>
      </c>
      <c r="N269">
        <v>765158.11253692326</v>
      </c>
      <c r="O269">
        <v>36843.56746307679</v>
      </c>
      <c r="Y269">
        <v>245</v>
      </c>
      <c r="Z269">
        <v>686182.27139036474</v>
      </c>
      <c r="AA269">
        <v>115819.40860963531</v>
      </c>
      <c r="AK269">
        <v>245</v>
      </c>
      <c r="AL269">
        <v>740232.04380541691</v>
      </c>
      <c r="AM269">
        <v>61769.636194583145</v>
      </c>
      <c r="AW269">
        <v>245</v>
      </c>
      <c r="AX269">
        <v>686636.96321766183</v>
      </c>
      <c r="AY269">
        <v>115364.71678233822</v>
      </c>
      <c r="BI269">
        <v>245</v>
      </c>
      <c r="BJ269">
        <v>690000.50568687671</v>
      </c>
      <c r="BK269">
        <v>112001.17431312334</v>
      </c>
      <c r="BU269">
        <v>245</v>
      </c>
      <c r="BV269">
        <v>671411.86335849017</v>
      </c>
      <c r="BW269">
        <v>130589.81664150988</v>
      </c>
      <c r="CG269">
        <v>245</v>
      </c>
      <c r="CH269">
        <v>684455.29139302555</v>
      </c>
      <c r="CI269">
        <v>117546.38860697451</v>
      </c>
    </row>
    <row r="270" spans="13:87">
      <c r="M270">
        <v>246</v>
      </c>
      <c r="N270">
        <v>757986.82829132257</v>
      </c>
      <c r="O270">
        <v>-7515.4882913226029</v>
      </c>
      <c r="Y270">
        <v>246</v>
      </c>
      <c r="Z270">
        <v>697835.62958654074</v>
      </c>
      <c r="AA270">
        <v>52635.710413459223</v>
      </c>
      <c r="AK270">
        <v>246</v>
      </c>
      <c r="AL270">
        <v>740232.04380541691</v>
      </c>
      <c r="AM270">
        <v>10239.296194583061</v>
      </c>
      <c r="AW270">
        <v>246</v>
      </c>
      <c r="AX270">
        <v>684197.34808256302</v>
      </c>
      <c r="AY270">
        <v>66273.991917436942</v>
      </c>
      <c r="BI270">
        <v>246</v>
      </c>
      <c r="BJ270">
        <v>690392.44962401362</v>
      </c>
      <c r="BK270">
        <v>60078.890375986346</v>
      </c>
      <c r="BU270">
        <v>246</v>
      </c>
      <c r="BV270">
        <v>671411.86335849017</v>
      </c>
      <c r="BW270">
        <v>79059.476641509798</v>
      </c>
      <c r="CG270">
        <v>246</v>
      </c>
      <c r="CH270">
        <v>683398.31812952249</v>
      </c>
      <c r="CI270">
        <v>67073.021870477474</v>
      </c>
    </row>
    <row r="271" spans="13:87">
      <c r="M271">
        <v>247</v>
      </c>
      <c r="N271">
        <v>709500.38406360417</v>
      </c>
      <c r="O271">
        <v>-30269.524063604185</v>
      </c>
      <c r="Y271">
        <v>247</v>
      </c>
      <c r="Z271">
        <v>668702.23409610079</v>
      </c>
      <c r="AA271">
        <v>10528.625903899199</v>
      </c>
      <c r="AK271">
        <v>247</v>
      </c>
      <c r="AL271">
        <v>757216.07256564265</v>
      </c>
      <c r="AM271">
        <v>-77985.212565642665</v>
      </c>
      <c r="AW271">
        <v>247</v>
      </c>
      <c r="AX271">
        <v>688411.22877046093</v>
      </c>
      <c r="AY271">
        <v>-9180.3687704609474</v>
      </c>
      <c r="BI271">
        <v>247</v>
      </c>
      <c r="BJ271">
        <v>691960.22537256102</v>
      </c>
      <c r="BK271">
        <v>-12729.365372561035</v>
      </c>
      <c r="BU271">
        <v>247</v>
      </c>
      <c r="BV271">
        <v>671411.86335849017</v>
      </c>
      <c r="BW271">
        <v>7818.996641509817</v>
      </c>
      <c r="CG271">
        <v>247</v>
      </c>
      <c r="CH271">
        <v>684983.77802477707</v>
      </c>
      <c r="CI271">
        <v>-5752.9180247770855</v>
      </c>
    </row>
    <row r="272" spans="13:87">
      <c r="M272">
        <v>248</v>
      </c>
      <c r="N272">
        <v>736080.51721272129</v>
      </c>
      <c r="O272">
        <v>-56191.777212721296</v>
      </c>
      <c r="Y272">
        <v>248</v>
      </c>
      <c r="Z272">
        <v>666343.81636592234</v>
      </c>
      <c r="AA272">
        <v>13544.923634077655</v>
      </c>
      <c r="AK272">
        <v>248</v>
      </c>
      <c r="AL272">
        <v>740232.04380541691</v>
      </c>
      <c r="AM272">
        <v>-60343.303805416916</v>
      </c>
      <c r="AW272">
        <v>248</v>
      </c>
      <c r="AX272">
        <v>685306.26405306254</v>
      </c>
      <c r="AY272">
        <v>-5417.5240530625451</v>
      </c>
      <c r="BI272">
        <v>248</v>
      </c>
      <c r="BJ272">
        <v>688040.78600119241</v>
      </c>
      <c r="BK272">
        <v>-8152.0460011924151</v>
      </c>
      <c r="BU272">
        <v>248</v>
      </c>
      <c r="BV272">
        <v>671411.86335849017</v>
      </c>
      <c r="BW272">
        <v>8476.8766415098216</v>
      </c>
      <c r="CG272">
        <v>248</v>
      </c>
      <c r="CH272">
        <v>683926.80476127402</v>
      </c>
      <c r="CI272">
        <v>-4038.0647612740286</v>
      </c>
    </row>
    <row r="273" spans="13:87">
      <c r="M273">
        <v>249</v>
      </c>
      <c r="N273">
        <v>584662.95334043517</v>
      </c>
      <c r="O273">
        <v>22120.716659564874</v>
      </c>
      <c r="Y273">
        <v>249</v>
      </c>
      <c r="Z273">
        <v>677026.06137908367</v>
      </c>
      <c r="AA273">
        <v>-70242.391379083623</v>
      </c>
      <c r="AK273">
        <v>249</v>
      </c>
      <c r="AL273">
        <v>570391.75620315922</v>
      </c>
      <c r="AM273">
        <v>36391.913796840818</v>
      </c>
      <c r="AW273">
        <v>249</v>
      </c>
      <c r="AX273">
        <v>697947.90611675638</v>
      </c>
      <c r="AY273">
        <v>-91164.236116756336</v>
      </c>
      <c r="BI273">
        <v>249</v>
      </c>
      <c r="BJ273">
        <v>683690.20829897304</v>
      </c>
      <c r="BK273">
        <v>-76906.538298972999</v>
      </c>
      <c r="BU273">
        <v>249</v>
      </c>
      <c r="BV273">
        <v>671411.86335849017</v>
      </c>
      <c r="BW273">
        <v>-64628.193358490127</v>
      </c>
      <c r="CG273">
        <v>249</v>
      </c>
      <c r="CH273">
        <v>681284.37160251639</v>
      </c>
      <c r="CI273">
        <v>-74500.701602516347</v>
      </c>
    </row>
    <row r="274" spans="13:87">
      <c r="M274">
        <v>250</v>
      </c>
      <c r="N274">
        <v>652094.43206772569</v>
      </c>
      <c r="O274">
        <v>-9343.0120677256491</v>
      </c>
      <c r="Y274">
        <v>250</v>
      </c>
      <c r="Z274">
        <v>694228.63776391488</v>
      </c>
      <c r="AA274">
        <v>-51477.217763914843</v>
      </c>
      <c r="AK274">
        <v>250</v>
      </c>
      <c r="AL274">
        <v>689279.95752473956</v>
      </c>
      <c r="AM274">
        <v>-46528.537524739513</v>
      </c>
      <c r="AW274">
        <v>250</v>
      </c>
      <c r="AX274">
        <v>666232.90936047176</v>
      </c>
      <c r="AY274">
        <v>-23481.489360471722</v>
      </c>
      <c r="BI274">
        <v>250</v>
      </c>
      <c r="BJ274">
        <v>679156.72342608997</v>
      </c>
      <c r="BK274">
        <v>-36405.303426089929</v>
      </c>
      <c r="BU274">
        <v>250</v>
      </c>
      <c r="BV274">
        <v>671411.86335849017</v>
      </c>
      <c r="BW274">
        <v>-28660.443358490127</v>
      </c>
      <c r="CG274">
        <v>250</v>
      </c>
      <c r="CH274">
        <v>682341.34486601944</v>
      </c>
      <c r="CI274">
        <v>-39589.924866019399</v>
      </c>
    </row>
    <row r="275" spans="13:87">
      <c r="M275">
        <v>251</v>
      </c>
      <c r="N275">
        <v>671967.09537518641</v>
      </c>
      <c r="O275">
        <v>-24013.315375186387</v>
      </c>
      <c r="Y275">
        <v>251</v>
      </c>
      <c r="Z275">
        <v>659962.21544896881</v>
      </c>
      <c r="AA275">
        <v>-12008.435448968783</v>
      </c>
      <c r="AK275">
        <v>251</v>
      </c>
      <c r="AL275">
        <v>655311.90000428807</v>
      </c>
      <c r="AM275">
        <v>-7358.1200042880373</v>
      </c>
      <c r="AW275">
        <v>251</v>
      </c>
      <c r="AX275">
        <v>680870.60017106473</v>
      </c>
      <c r="AY275">
        <v>-32916.820171064697</v>
      </c>
      <c r="BI275">
        <v>251</v>
      </c>
      <c r="BJ275">
        <v>690314.06083658617</v>
      </c>
      <c r="BK275">
        <v>-42360.280836586142</v>
      </c>
      <c r="BU275">
        <v>251</v>
      </c>
      <c r="BV275">
        <v>671411.86335849017</v>
      </c>
      <c r="BW275">
        <v>-23458.083358490141</v>
      </c>
      <c r="CG275">
        <v>251</v>
      </c>
      <c r="CH275">
        <v>680227.39833901334</v>
      </c>
      <c r="CI275">
        <v>-32273.618339013308</v>
      </c>
    </row>
    <row r="276" spans="13:87">
      <c r="M276">
        <v>252</v>
      </c>
      <c r="N276">
        <v>690448.31547081424</v>
      </c>
      <c r="O276">
        <v>38992.134529185714</v>
      </c>
      <c r="Y276">
        <v>252</v>
      </c>
      <c r="Z276">
        <v>685766.08002621564</v>
      </c>
      <c r="AA276">
        <v>43674.369973784313</v>
      </c>
      <c r="AK276">
        <v>252</v>
      </c>
      <c r="AL276">
        <v>638327.87124406232</v>
      </c>
      <c r="AM276">
        <v>91112.578755937633</v>
      </c>
      <c r="AW276">
        <v>252</v>
      </c>
      <c r="AX276">
        <v>660466.54631387466</v>
      </c>
      <c r="AY276">
        <v>68973.903686125297</v>
      </c>
      <c r="BI276">
        <v>252</v>
      </c>
      <c r="BJ276">
        <v>689504.04336650332</v>
      </c>
      <c r="BK276">
        <v>39936.406633496634</v>
      </c>
      <c r="BU276">
        <v>252</v>
      </c>
      <c r="BV276">
        <v>671411.86335849017</v>
      </c>
      <c r="BW276">
        <v>58028.586641509784</v>
      </c>
      <c r="CG276">
        <v>252</v>
      </c>
      <c r="CH276">
        <v>680227.39833901334</v>
      </c>
      <c r="CI276">
        <v>49213.051660986617</v>
      </c>
    </row>
    <row r="277" spans="13:87">
      <c r="M277">
        <v>253</v>
      </c>
      <c r="N277">
        <v>688378.98966860096</v>
      </c>
      <c r="O277">
        <v>76570.01033139904</v>
      </c>
      <c r="Y277">
        <v>253</v>
      </c>
      <c r="Z277">
        <v>690899.10685072176</v>
      </c>
      <c r="AA277">
        <v>74049.893149278243</v>
      </c>
      <c r="AK277">
        <v>253</v>
      </c>
      <c r="AL277">
        <v>672295.92876451381</v>
      </c>
      <c r="AM277">
        <v>92653.07123548619</v>
      </c>
      <c r="AW277">
        <v>253</v>
      </c>
      <c r="AX277">
        <v>704379.61874565319</v>
      </c>
      <c r="AY277">
        <v>60569.381254346808</v>
      </c>
      <c r="BI277">
        <v>253</v>
      </c>
      <c r="BJ277">
        <v>667555.18288683856</v>
      </c>
      <c r="BK277">
        <v>97393.817113161436</v>
      </c>
      <c r="BU277">
        <v>253</v>
      </c>
      <c r="BV277">
        <v>671411.86335849017</v>
      </c>
      <c r="BW277">
        <v>93537.136641509831</v>
      </c>
      <c r="CG277">
        <v>253</v>
      </c>
      <c r="CH277">
        <v>681812.85823426791</v>
      </c>
      <c r="CI277">
        <v>83136.141765732085</v>
      </c>
    </row>
    <row r="278" spans="13:87">
      <c r="M278">
        <v>254</v>
      </c>
      <c r="N278">
        <v>691019.16396797635</v>
      </c>
      <c r="O278">
        <v>108027.7760320236</v>
      </c>
      <c r="Y278">
        <v>254</v>
      </c>
      <c r="Z278">
        <v>687569.57593752863</v>
      </c>
      <c r="AA278">
        <v>111477.36406247132</v>
      </c>
      <c r="AK278">
        <v>254</v>
      </c>
      <c r="AL278">
        <v>689279.95752473956</v>
      </c>
      <c r="AM278">
        <v>109766.98247526039</v>
      </c>
      <c r="AW278">
        <v>254</v>
      </c>
      <c r="AX278">
        <v>683310.21530616342</v>
      </c>
      <c r="AY278">
        <v>115736.72469383653</v>
      </c>
      <c r="BI278">
        <v>254</v>
      </c>
      <c r="BJ278">
        <v>678163.79878534318</v>
      </c>
      <c r="BK278">
        <v>120883.14121465676</v>
      </c>
      <c r="BU278">
        <v>254</v>
      </c>
      <c r="BV278">
        <v>671411.86335849017</v>
      </c>
      <c r="BW278">
        <v>127635.07664150978</v>
      </c>
      <c r="CG278">
        <v>254</v>
      </c>
      <c r="CH278">
        <v>684455.29139302555</v>
      </c>
      <c r="CI278">
        <v>114591.6486069744</v>
      </c>
    </row>
    <row r="279" spans="13:87">
      <c r="M279">
        <v>255</v>
      </c>
      <c r="N279">
        <v>647670.35621471819</v>
      </c>
      <c r="O279">
        <v>72409.183785281843</v>
      </c>
      <c r="Y279">
        <v>255</v>
      </c>
      <c r="Z279">
        <v>689650.53275827423</v>
      </c>
      <c r="AA279">
        <v>30429.007241725805</v>
      </c>
      <c r="AK279">
        <v>255</v>
      </c>
      <c r="AL279">
        <v>621343.84248383646</v>
      </c>
      <c r="AM279">
        <v>98735.697516163578</v>
      </c>
      <c r="AW279">
        <v>255</v>
      </c>
      <c r="AX279">
        <v>679761.68420056521</v>
      </c>
      <c r="AY279">
        <v>40317.855799434823</v>
      </c>
      <c r="BI279">
        <v>255</v>
      </c>
      <c r="BJ279">
        <v>690287.93124077714</v>
      </c>
      <c r="BK279">
        <v>29791.608759222901</v>
      </c>
      <c r="BU279">
        <v>255</v>
      </c>
      <c r="BV279">
        <v>671411.86335849017</v>
      </c>
      <c r="BW279">
        <v>48667.676641509868</v>
      </c>
      <c r="CG279">
        <v>255</v>
      </c>
      <c r="CH279">
        <v>682341.34486601944</v>
      </c>
      <c r="CI279">
        <v>37738.195133980596</v>
      </c>
    </row>
    <row r="280" spans="13:87">
      <c r="M280">
        <v>256</v>
      </c>
      <c r="N280">
        <v>652879.34875132376</v>
      </c>
      <c r="O280">
        <v>-40489.208751323749</v>
      </c>
      <c r="Y280">
        <v>256</v>
      </c>
      <c r="Z280">
        <v>697835.62958654074</v>
      </c>
      <c r="AA280">
        <v>-85445.489586540731</v>
      </c>
      <c r="AK280">
        <v>256</v>
      </c>
      <c r="AL280">
        <v>689279.95752473956</v>
      </c>
      <c r="AM280">
        <v>-76889.817524739541</v>
      </c>
      <c r="AW280">
        <v>256</v>
      </c>
      <c r="AX280">
        <v>680648.81697696471</v>
      </c>
      <c r="AY280">
        <v>-68258.676976964693</v>
      </c>
      <c r="BI280">
        <v>256</v>
      </c>
      <c r="BJ280">
        <v>681534.51664472034</v>
      </c>
      <c r="BK280">
        <v>-69144.376644720323</v>
      </c>
      <c r="BU280">
        <v>256</v>
      </c>
      <c r="BV280">
        <v>671411.86335849017</v>
      </c>
      <c r="BW280">
        <v>-59021.723358490155</v>
      </c>
      <c r="CG280">
        <v>256</v>
      </c>
      <c r="CH280">
        <v>679698.91170726181</v>
      </c>
      <c r="CI280">
        <v>-67308.771707261796</v>
      </c>
    </row>
    <row r="281" spans="13:87">
      <c r="M281">
        <v>257</v>
      </c>
      <c r="N281">
        <v>737721.70664206275</v>
      </c>
      <c r="O281">
        <v>102386.41335793724</v>
      </c>
      <c r="Y281">
        <v>257</v>
      </c>
      <c r="Z281">
        <v>690760.37639600527</v>
      </c>
      <c r="AA281">
        <v>149347.74360399472</v>
      </c>
      <c r="AK281">
        <v>257</v>
      </c>
      <c r="AL281">
        <v>723248.01504519116</v>
      </c>
      <c r="AM281">
        <v>116860.10495480883</v>
      </c>
      <c r="AW281">
        <v>257</v>
      </c>
      <c r="AX281">
        <v>679539.90100646531</v>
      </c>
      <c r="AY281">
        <v>160568.21899353468</v>
      </c>
      <c r="BI281">
        <v>257</v>
      </c>
      <c r="BJ281">
        <v>689190.48821679386</v>
      </c>
      <c r="BK281">
        <v>150917.63178320613</v>
      </c>
      <c r="BU281">
        <v>257</v>
      </c>
      <c r="BV281">
        <v>725037.1987272721</v>
      </c>
      <c r="BW281">
        <v>115070.92127272789</v>
      </c>
      <c r="CG281">
        <v>257</v>
      </c>
      <c r="CH281">
        <v>678641.93844375876</v>
      </c>
      <c r="CI281">
        <v>161466.18155624124</v>
      </c>
    </row>
    <row r="282" spans="13:87">
      <c r="M282">
        <v>258</v>
      </c>
      <c r="N282">
        <v>716635.99027813226</v>
      </c>
      <c r="O282">
        <v>-18747.900278132292</v>
      </c>
      <c r="Y282">
        <v>258</v>
      </c>
      <c r="Z282">
        <v>682020.3577488733</v>
      </c>
      <c r="AA282">
        <v>15867.732251126668</v>
      </c>
      <c r="AK282">
        <v>258</v>
      </c>
      <c r="AL282">
        <v>723248.01504519116</v>
      </c>
      <c r="AM282">
        <v>-25359.925045191194</v>
      </c>
      <c r="AW282">
        <v>258</v>
      </c>
      <c r="AX282">
        <v>668228.95810737077</v>
      </c>
      <c r="AY282">
        <v>29659.131892629201</v>
      </c>
      <c r="BI282">
        <v>258</v>
      </c>
      <c r="BJ282">
        <v>685323.30803704343</v>
      </c>
      <c r="BK282">
        <v>12564.781962956535</v>
      </c>
      <c r="BU282">
        <v>258</v>
      </c>
      <c r="BV282">
        <v>671411.86335849017</v>
      </c>
      <c r="BW282">
        <v>26476.226641509798</v>
      </c>
      <c r="CG282">
        <v>258</v>
      </c>
      <c r="CH282">
        <v>677056.47854850418</v>
      </c>
      <c r="CI282">
        <v>20831.611451495788</v>
      </c>
    </row>
    <row r="283" spans="13:87">
      <c r="M283">
        <v>259</v>
      </c>
      <c r="N283">
        <v>754454.70321513107</v>
      </c>
      <c r="O283">
        <v>-8339.1132151311031</v>
      </c>
      <c r="Y283">
        <v>259</v>
      </c>
      <c r="Z283">
        <v>677997.17456209834</v>
      </c>
      <c r="AA283">
        <v>68118.415437901625</v>
      </c>
      <c r="AK283">
        <v>259</v>
      </c>
      <c r="AL283">
        <v>723248.01504519116</v>
      </c>
      <c r="AM283">
        <v>22867.574954808806</v>
      </c>
      <c r="AW283">
        <v>259</v>
      </c>
      <c r="AX283">
        <v>678874.55142416561</v>
      </c>
      <c r="AY283">
        <v>67241.038575834362</v>
      </c>
      <c r="BI283">
        <v>259</v>
      </c>
      <c r="BJ283">
        <v>682840.99643517658</v>
      </c>
      <c r="BK283">
        <v>63274.593564823386</v>
      </c>
      <c r="BU283">
        <v>259</v>
      </c>
      <c r="BV283">
        <v>671411.86335849017</v>
      </c>
      <c r="BW283">
        <v>74703.726641509798</v>
      </c>
      <c r="CG283">
        <v>259</v>
      </c>
      <c r="CH283">
        <v>678113.45181200723</v>
      </c>
      <c r="CI283">
        <v>68002.138187992736</v>
      </c>
    </row>
    <row r="284" spans="13:87">
      <c r="M284">
        <v>260</v>
      </c>
      <c r="N284">
        <v>725983.63441916415</v>
      </c>
      <c r="O284">
        <v>50126.685580835794</v>
      </c>
      <c r="Y284">
        <v>260</v>
      </c>
      <c r="Z284">
        <v>696864.51640352607</v>
      </c>
      <c r="AA284">
        <v>79245.803596473881</v>
      </c>
      <c r="AK284">
        <v>260</v>
      </c>
      <c r="AL284">
        <v>757216.07256564265</v>
      </c>
      <c r="AM284">
        <v>18894.247434357298</v>
      </c>
      <c r="AW284">
        <v>260</v>
      </c>
      <c r="AX284">
        <v>689298.36154686054</v>
      </c>
      <c r="AY284">
        <v>86811.958453139407</v>
      </c>
      <c r="BI284">
        <v>260</v>
      </c>
      <c r="BJ284">
        <v>687727.23085148283</v>
      </c>
      <c r="BK284">
        <v>88383.089148517116</v>
      </c>
      <c r="BU284">
        <v>260</v>
      </c>
      <c r="BV284">
        <v>671411.86335849017</v>
      </c>
      <c r="BW284">
        <v>104698.45664150978</v>
      </c>
      <c r="CG284">
        <v>260</v>
      </c>
      <c r="CH284">
        <v>682341.34486601944</v>
      </c>
      <c r="CI284">
        <v>93768.975133980508</v>
      </c>
    </row>
    <row r="285" spans="13:87">
      <c r="M285">
        <v>261</v>
      </c>
      <c r="N285">
        <v>555121.54361228889</v>
      </c>
      <c r="O285">
        <v>-26268.923612288898</v>
      </c>
      <c r="Y285">
        <v>261</v>
      </c>
      <c r="Z285">
        <v>679107.01819982938</v>
      </c>
      <c r="AA285">
        <v>-150254.39819982939</v>
      </c>
      <c r="AK285">
        <v>261</v>
      </c>
      <c r="AL285">
        <v>570391.75620315922</v>
      </c>
      <c r="AM285">
        <v>-41539.136203159229</v>
      </c>
      <c r="AW285">
        <v>261</v>
      </c>
      <c r="AX285">
        <v>685084.48085896252</v>
      </c>
      <c r="AY285">
        <v>-156231.86085896252</v>
      </c>
      <c r="BI285">
        <v>261</v>
      </c>
      <c r="BJ285">
        <v>675185.02486310294</v>
      </c>
      <c r="BK285">
        <v>-146332.40486310294</v>
      </c>
      <c r="BU285">
        <v>261</v>
      </c>
      <c r="BV285">
        <v>671411.86335849017</v>
      </c>
      <c r="BW285">
        <v>-142559.24335849017</v>
      </c>
      <c r="CG285">
        <v>261</v>
      </c>
      <c r="CH285">
        <v>679170.42507551028</v>
      </c>
      <c r="CI285">
        <v>-150317.80507551029</v>
      </c>
    </row>
    <row r="286" spans="13:87">
      <c r="M286">
        <v>262</v>
      </c>
      <c r="N286">
        <v>617058.60555439279</v>
      </c>
      <c r="O286">
        <v>-11307.275554392836</v>
      </c>
      <c r="Y286">
        <v>262</v>
      </c>
      <c r="Z286">
        <v>674390.18273947237</v>
      </c>
      <c r="AA286">
        <v>-68638.852739472408</v>
      </c>
      <c r="AK286">
        <v>262</v>
      </c>
      <c r="AL286">
        <v>621343.84248383646</v>
      </c>
      <c r="AM286">
        <v>-15592.512483836501</v>
      </c>
      <c r="AW286">
        <v>262</v>
      </c>
      <c r="AX286">
        <v>678430.9850359658</v>
      </c>
      <c r="AY286">
        <v>-72679.655035965843</v>
      </c>
      <c r="BI286">
        <v>262</v>
      </c>
      <c r="BJ286">
        <v>683690.20829897304</v>
      </c>
      <c r="BK286">
        <v>-77938.878298973083</v>
      </c>
      <c r="BU286">
        <v>262</v>
      </c>
      <c r="BV286">
        <v>671411.86335849017</v>
      </c>
      <c r="BW286">
        <v>-65660.533358490211</v>
      </c>
      <c r="CG286">
        <v>262</v>
      </c>
      <c r="CH286">
        <v>679170.42507551028</v>
      </c>
      <c r="CI286">
        <v>-73419.095075510326</v>
      </c>
    </row>
    <row r="287" spans="13:87">
      <c r="M287">
        <v>263</v>
      </c>
      <c r="N287">
        <v>621304.29125203693</v>
      </c>
      <c r="O287">
        <v>56336.358747963095</v>
      </c>
      <c r="Y287">
        <v>263</v>
      </c>
      <c r="Z287">
        <v>685904.81048093201</v>
      </c>
      <c r="AA287">
        <v>-8264.1604809319833</v>
      </c>
      <c r="AK287">
        <v>263</v>
      </c>
      <c r="AL287">
        <v>587375.78496338497</v>
      </c>
      <c r="AM287">
        <v>90264.865036615054</v>
      </c>
      <c r="AW287">
        <v>263</v>
      </c>
      <c r="AX287">
        <v>670446.79004836967</v>
      </c>
      <c r="AY287">
        <v>7193.8599516303511</v>
      </c>
      <c r="BI287">
        <v>263</v>
      </c>
      <c r="BJ287">
        <v>674401.13698882924</v>
      </c>
      <c r="BK287">
        <v>3239.513011170784</v>
      </c>
      <c r="BU287">
        <v>263</v>
      </c>
      <c r="BV287">
        <v>725037.1987272721</v>
      </c>
      <c r="BW287">
        <v>-47396.548727272078</v>
      </c>
      <c r="CG287">
        <v>263</v>
      </c>
      <c r="CH287">
        <v>679170.42507551028</v>
      </c>
      <c r="CI287">
        <v>-1529.7750755102606</v>
      </c>
    </row>
    <row r="288" spans="13:87">
      <c r="M288">
        <v>264</v>
      </c>
      <c r="N288">
        <v>589907.62390811334</v>
      </c>
      <c r="O288">
        <v>46705.606091886642</v>
      </c>
      <c r="Y288">
        <v>264</v>
      </c>
      <c r="Z288">
        <v>667731.12091308611</v>
      </c>
      <c r="AA288">
        <v>-31117.890913086128</v>
      </c>
      <c r="AK288">
        <v>264</v>
      </c>
      <c r="AL288">
        <v>604359.81372361071</v>
      </c>
      <c r="AM288">
        <v>32253.416276389267</v>
      </c>
      <c r="AW288">
        <v>264</v>
      </c>
      <c r="AX288">
        <v>692846.89265245874</v>
      </c>
      <c r="AY288">
        <v>-56233.662652458763</v>
      </c>
      <c r="BI288">
        <v>264</v>
      </c>
      <c r="BJ288">
        <v>661702.15342559456</v>
      </c>
      <c r="BK288">
        <v>-25088.923425594578</v>
      </c>
      <c r="BU288">
        <v>264</v>
      </c>
      <c r="BV288">
        <v>671411.86335849017</v>
      </c>
      <c r="BW288">
        <v>-34798.633358490188</v>
      </c>
      <c r="CG288">
        <v>264</v>
      </c>
      <c r="CH288">
        <v>681812.85823426791</v>
      </c>
      <c r="CI288">
        <v>-45199.628234267933</v>
      </c>
    </row>
    <row r="289" spans="13:87">
      <c r="M289">
        <v>265</v>
      </c>
      <c r="N289">
        <v>707716.48250997218</v>
      </c>
      <c r="O289">
        <v>1268.7074900277657</v>
      </c>
      <c r="Y289">
        <v>265</v>
      </c>
      <c r="Z289">
        <v>684794.96684320096</v>
      </c>
      <c r="AA289">
        <v>24190.22315679898</v>
      </c>
      <c r="AK289">
        <v>265</v>
      </c>
      <c r="AL289">
        <v>655311.90000428807</v>
      </c>
      <c r="AM289">
        <v>53673.289995711879</v>
      </c>
      <c r="AW289">
        <v>265</v>
      </c>
      <c r="AX289">
        <v>697282.55653445667</v>
      </c>
      <c r="AY289">
        <v>11702.633465543273</v>
      </c>
      <c r="BI289">
        <v>265</v>
      </c>
      <c r="BJ289">
        <v>691176.33749828732</v>
      </c>
      <c r="BK289">
        <v>17808.852501712623</v>
      </c>
      <c r="BU289">
        <v>265</v>
      </c>
      <c r="BV289">
        <v>671411.86335849017</v>
      </c>
      <c r="BW289">
        <v>37573.326641509775</v>
      </c>
      <c r="CG289">
        <v>265</v>
      </c>
      <c r="CH289">
        <v>682869.83149777097</v>
      </c>
      <c r="CI289">
        <v>26115.358502228977</v>
      </c>
    </row>
    <row r="290" spans="13:87">
      <c r="M290">
        <v>266</v>
      </c>
      <c r="N290">
        <v>736437.29752344778</v>
      </c>
      <c r="O290">
        <v>31355.642476552166</v>
      </c>
      <c r="Y290">
        <v>266</v>
      </c>
      <c r="Z290">
        <v>668563.50364138442</v>
      </c>
      <c r="AA290">
        <v>99229.436358615523</v>
      </c>
      <c r="AK290">
        <v>266</v>
      </c>
      <c r="AL290">
        <v>740232.04380541691</v>
      </c>
      <c r="AM290">
        <v>27560.896194583038</v>
      </c>
      <c r="AW290">
        <v>266</v>
      </c>
      <c r="AX290">
        <v>673773.53795986809</v>
      </c>
      <c r="AY290">
        <v>94019.402040131856</v>
      </c>
      <c r="BI290">
        <v>266</v>
      </c>
      <c r="BJ290">
        <v>690183.41285754053</v>
      </c>
      <c r="BK290">
        <v>77609.52714245941</v>
      </c>
      <c r="BU290">
        <v>266</v>
      </c>
      <c r="BV290">
        <v>671411.86335849017</v>
      </c>
      <c r="BW290">
        <v>96381.076641509775</v>
      </c>
      <c r="CG290">
        <v>266</v>
      </c>
      <c r="CH290">
        <v>681812.85823426791</v>
      </c>
      <c r="CI290">
        <v>85980.081765732029</v>
      </c>
    </row>
    <row r="291" spans="13:87">
      <c r="M291">
        <v>267</v>
      </c>
      <c r="N291">
        <v>730728.81255182531</v>
      </c>
      <c r="O291">
        <v>14851.697448174702</v>
      </c>
      <c r="Y291">
        <v>267</v>
      </c>
      <c r="Z291">
        <v>674251.452284756</v>
      </c>
      <c r="AA291">
        <v>71329.057715244009</v>
      </c>
      <c r="AK291">
        <v>267</v>
      </c>
      <c r="AL291">
        <v>757216.07256564265</v>
      </c>
      <c r="AM291">
        <v>-11635.562565642642</v>
      </c>
      <c r="AW291">
        <v>267</v>
      </c>
      <c r="AX291">
        <v>680648.81697696471</v>
      </c>
      <c r="AY291">
        <v>64931.693023035303</v>
      </c>
      <c r="BI291">
        <v>267</v>
      </c>
      <c r="BJ291">
        <v>686603.65823169053</v>
      </c>
      <c r="BK291">
        <v>58976.851768309483</v>
      </c>
      <c r="BU291">
        <v>267</v>
      </c>
      <c r="BV291">
        <v>671411.86335849017</v>
      </c>
      <c r="BW291">
        <v>74168.64664150984</v>
      </c>
      <c r="CG291">
        <v>267</v>
      </c>
      <c r="CH291">
        <v>681812.85823426791</v>
      </c>
      <c r="CI291">
        <v>63767.651765732095</v>
      </c>
    </row>
    <row r="292" spans="13:87">
      <c r="M292">
        <v>268</v>
      </c>
      <c r="N292">
        <v>704719.52789987042</v>
      </c>
      <c r="O292">
        <v>57608.78210012964</v>
      </c>
      <c r="Y292">
        <v>268</v>
      </c>
      <c r="Z292">
        <v>694228.63776391488</v>
      </c>
      <c r="AA292">
        <v>68099.672236085171</v>
      </c>
      <c r="AK292">
        <v>268</v>
      </c>
      <c r="AL292">
        <v>655311.90000428807</v>
      </c>
      <c r="AM292">
        <v>107016.40999571199</v>
      </c>
      <c r="AW292">
        <v>268</v>
      </c>
      <c r="AX292">
        <v>690850.84390555974</v>
      </c>
      <c r="AY292">
        <v>71477.466094440315</v>
      </c>
      <c r="BI292">
        <v>268</v>
      </c>
      <c r="BJ292">
        <v>691725.0590102789</v>
      </c>
      <c r="BK292">
        <v>70603.250989721157</v>
      </c>
      <c r="BU292">
        <v>268</v>
      </c>
      <c r="BV292">
        <v>671411.86335849017</v>
      </c>
      <c r="BW292">
        <v>90916.446641509887</v>
      </c>
      <c r="CG292">
        <v>268</v>
      </c>
      <c r="CH292">
        <v>682869.83149777097</v>
      </c>
      <c r="CI292">
        <v>79458.478502229089</v>
      </c>
    </row>
    <row r="293" spans="13:87">
      <c r="M293">
        <v>269</v>
      </c>
      <c r="N293">
        <v>733690.08913085447</v>
      </c>
      <c r="O293">
        <v>-73056.099130854476</v>
      </c>
      <c r="Y293">
        <v>269</v>
      </c>
      <c r="Z293">
        <v>683130.20138660434</v>
      </c>
      <c r="AA293">
        <v>-22496.211386604351</v>
      </c>
      <c r="AK293">
        <v>269</v>
      </c>
      <c r="AL293">
        <v>672295.92876451381</v>
      </c>
      <c r="AM293">
        <v>-11661.938764513819</v>
      </c>
      <c r="AW293">
        <v>269</v>
      </c>
      <c r="AX293">
        <v>695286.50778755767</v>
      </c>
      <c r="AY293">
        <v>-34652.517787557677</v>
      </c>
      <c r="BI293">
        <v>269</v>
      </c>
      <c r="BJ293">
        <v>690784.39356115041</v>
      </c>
      <c r="BK293">
        <v>-30150.403561150422</v>
      </c>
      <c r="BU293">
        <v>269</v>
      </c>
      <c r="BV293">
        <v>671411.86335849017</v>
      </c>
      <c r="BW293">
        <v>-10777.873358490178</v>
      </c>
      <c r="CG293">
        <v>269</v>
      </c>
      <c r="CH293">
        <v>682341.34486601944</v>
      </c>
      <c r="CI293">
        <v>-21707.35486601945</v>
      </c>
    </row>
    <row r="294" spans="13:87">
      <c r="M294">
        <v>270</v>
      </c>
      <c r="N294">
        <v>732477.03607438458</v>
      </c>
      <c r="O294">
        <v>6897.5239256154746</v>
      </c>
      <c r="Y294">
        <v>270</v>
      </c>
      <c r="Z294">
        <v>678552.09638096381</v>
      </c>
      <c r="AA294">
        <v>60822.463619036251</v>
      </c>
      <c r="AK294">
        <v>270</v>
      </c>
      <c r="AL294">
        <v>740232.04380541691</v>
      </c>
      <c r="AM294">
        <v>-857.48380541685037</v>
      </c>
      <c r="AW294">
        <v>270</v>
      </c>
      <c r="AX294">
        <v>682201.29933566402</v>
      </c>
      <c r="AY294">
        <v>57173.260664336034</v>
      </c>
      <c r="BI294">
        <v>270</v>
      </c>
      <c r="BJ294">
        <v>691960.22537256102</v>
      </c>
      <c r="BK294">
        <v>47414.334627439035</v>
      </c>
      <c r="BU294">
        <v>270</v>
      </c>
      <c r="BV294">
        <v>671411.86335849017</v>
      </c>
      <c r="BW294">
        <v>67962.696641509887</v>
      </c>
      <c r="CG294">
        <v>270</v>
      </c>
      <c r="CH294">
        <v>682869.83149777097</v>
      </c>
      <c r="CI294">
        <v>56504.728502229089</v>
      </c>
    </row>
    <row r="295" spans="13:87">
      <c r="M295">
        <v>271</v>
      </c>
      <c r="N295">
        <v>810041.07562630507</v>
      </c>
      <c r="O295">
        <v>-10284.615626305109</v>
      </c>
      <c r="Y295">
        <v>271</v>
      </c>
      <c r="Z295">
        <v>670366.99955269741</v>
      </c>
      <c r="AA295">
        <v>129389.46044730255</v>
      </c>
      <c r="AK295">
        <v>271</v>
      </c>
      <c r="AL295">
        <v>757216.07256564265</v>
      </c>
      <c r="AM295">
        <v>42540.387434357312</v>
      </c>
      <c r="AW295">
        <v>271</v>
      </c>
      <c r="AX295">
        <v>679096.33461826551</v>
      </c>
      <c r="AY295">
        <v>120660.12538173446</v>
      </c>
      <c r="BI295">
        <v>271</v>
      </c>
      <c r="BJ295">
        <v>682997.77401003125</v>
      </c>
      <c r="BK295">
        <v>116758.68598996871</v>
      </c>
      <c r="BU295">
        <v>271</v>
      </c>
      <c r="BV295">
        <v>725037.1987272721</v>
      </c>
      <c r="BW295">
        <v>74719.261272727861</v>
      </c>
      <c r="CG295">
        <v>271</v>
      </c>
      <c r="CH295">
        <v>681284.37160251639</v>
      </c>
      <c r="CI295">
        <v>118472.08839748357</v>
      </c>
    </row>
    <row r="296" spans="13:87">
      <c r="M296">
        <v>272</v>
      </c>
      <c r="N296">
        <v>712069.20230083424</v>
      </c>
      <c r="O296">
        <v>-118726.20230083424</v>
      </c>
      <c r="Y296">
        <v>272</v>
      </c>
      <c r="Z296">
        <v>682436.54911302251</v>
      </c>
      <c r="AA296">
        <v>-89093.549113022513</v>
      </c>
      <c r="AK296">
        <v>272</v>
      </c>
      <c r="AL296">
        <v>655311.90000428807</v>
      </c>
      <c r="AM296">
        <v>-61968.900004288065</v>
      </c>
      <c r="AW296">
        <v>272</v>
      </c>
      <c r="AX296">
        <v>675991.36990086699</v>
      </c>
      <c r="AY296">
        <v>-82648.369900866994</v>
      </c>
      <c r="BI296">
        <v>272</v>
      </c>
      <c r="BJ296">
        <v>691960.22537256102</v>
      </c>
      <c r="BK296">
        <v>-98617.225372561021</v>
      </c>
      <c r="BU296">
        <v>272</v>
      </c>
      <c r="BV296">
        <v>671411.86335849017</v>
      </c>
      <c r="BW296">
        <v>-78068.863358490169</v>
      </c>
      <c r="CG296">
        <v>272</v>
      </c>
      <c r="CH296">
        <v>684455.29139302555</v>
      </c>
      <c r="CI296">
        <v>-91112.291393025545</v>
      </c>
    </row>
    <row r="297" spans="13:87">
      <c r="M297">
        <v>273</v>
      </c>
      <c r="N297">
        <v>649382.90170620498</v>
      </c>
      <c r="O297">
        <v>-4342.9317062050104</v>
      </c>
      <c r="Y297">
        <v>273</v>
      </c>
      <c r="Z297">
        <v>690621.64594128891</v>
      </c>
      <c r="AA297">
        <v>-45581.675941288937</v>
      </c>
      <c r="AK297">
        <v>273</v>
      </c>
      <c r="AL297">
        <v>689279.95752473956</v>
      </c>
      <c r="AM297">
        <v>-44239.987524739583</v>
      </c>
      <c r="AW297">
        <v>273</v>
      </c>
      <c r="AX297">
        <v>674660.6707362677</v>
      </c>
      <c r="AY297">
        <v>-29620.700736267725</v>
      </c>
      <c r="BI297">
        <v>273</v>
      </c>
      <c r="BJ297">
        <v>676204.07909965888</v>
      </c>
      <c r="BK297">
        <v>-31164.109099658905</v>
      </c>
      <c r="BU297">
        <v>273</v>
      </c>
      <c r="BV297">
        <v>671411.86335849017</v>
      </c>
      <c r="BW297">
        <v>-26371.893358490197</v>
      </c>
      <c r="CG297">
        <v>273</v>
      </c>
      <c r="CH297">
        <v>683926.80476127402</v>
      </c>
      <c r="CI297">
        <v>-38886.834761274047</v>
      </c>
    </row>
    <row r="298" spans="13:87">
      <c r="M298">
        <v>274</v>
      </c>
      <c r="N298">
        <v>565075.71428155561</v>
      </c>
      <c r="O298">
        <v>-3478.3842815556563</v>
      </c>
      <c r="Y298">
        <v>274</v>
      </c>
      <c r="Z298">
        <v>676609.87001493445</v>
      </c>
      <c r="AA298">
        <v>-115012.54001493449</v>
      </c>
      <c r="AK298">
        <v>274</v>
      </c>
      <c r="AL298">
        <v>638327.87124406232</v>
      </c>
      <c r="AM298">
        <v>-76730.541244062362</v>
      </c>
      <c r="AW298">
        <v>274</v>
      </c>
      <c r="AX298">
        <v>680205.2505887649</v>
      </c>
      <c r="AY298">
        <v>-118607.92058876494</v>
      </c>
      <c r="BI298">
        <v>274</v>
      </c>
      <c r="BJ298">
        <v>689765.33932459459</v>
      </c>
      <c r="BK298">
        <v>-128168.00932459463</v>
      </c>
      <c r="BU298">
        <v>274</v>
      </c>
      <c r="BV298">
        <v>671411.86335849017</v>
      </c>
      <c r="BW298">
        <v>-109814.53335849021</v>
      </c>
      <c r="CG298">
        <v>274</v>
      </c>
      <c r="CH298">
        <v>684983.77802477707</v>
      </c>
      <c r="CI298">
        <v>-123386.44802477711</v>
      </c>
    </row>
    <row r="299" spans="13:87">
      <c r="M299">
        <v>275</v>
      </c>
      <c r="N299">
        <v>652165.78812987101</v>
      </c>
      <c r="O299">
        <v>-16328.048129871022</v>
      </c>
      <c r="Y299">
        <v>275</v>
      </c>
      <c r="Z299">
        <v>678274.63547153107</v>
      </c>
      <c r="AA299">
        <v>-42436.895471531083</v>
      </c>
      <c r="AK299">
        <v>275</v>
      </c>
      <c r="AL299">
        <v>689279.95752473956</v>
      </c>
      <c r="AM299">
        <v>-53442.217524739564</v>
      </c>
      <c r="AW299">
        <v>275</v>
      </c>
      <c r="AX299">
        <v>683975.56488846312</v>
      </c>
      <c r="AY299">
        <v>-48137.824888463132</v>
      </c>
      <c r="BI299">
        <v>275</v>
      </c>
      <c r="BJ299">
        <v>687884.00842633762</v>
      </c>
      <c r="BK299">
        <v>-52046.268426337629</v>
      </c>
      <c r="BU299">
        <v>275</v>
      </c>
      <c r="BV299">
        <v>671411.86335849017</v>
      </c>
      <c r="BW299">
        <v>-35574.123358490178</v>
      </c>
      <c r="CG299">
        <v>275</v>
      </c>
      <c r="CH299">
        <v>684983.77802477707</v>
      </c>
      <c r="CI299">
        <v>-49146.038024777081</v>
      </c>
    </row>
    <row r="300" spans="13:87">
      <c r="M300">
        <v>276</v>
      </c>
      <c r="N300">
        <v>656661.2200450236</v>
      </c>
      <c r="O300">
        <v>30076.649954976398</v>
      </c>
      <c r="Y300">
        <v>276</v>
      </c>
      <c r="Z300">
        <v>663569.20727159467</v>
      </c>
      <c r="AA300">
        <v>23168.662728405325</v>
      </c>
      <c r="AK300">
        <v>276</v>
      </c>
      <c r="AL300">
        <v>706263.98628496542</v>
      </c>
      <c r="AM300">
        <v>-19526.116284965421</v>
      </c>
      <c r="AW300">
        <v>276</v>
      </c>
      <c r="AX300">
        <v>656918.01520827634</v>
      </c>
      <c r="AY300">
        <v>29819.854791723657</v>
      </c>
      <c r="BI300">
        <v>276</v>
      </c>
      <c r="BJ300">
        <v>685009.75288733386</v>
      </c>
      <c r="BK300">
        <v>1728.1171126661357</v>
      </c>
      <c r="BU300">
        <v>276</v>
      </c>
      <c r="BV300">
        <v>671411.86335849017</v>
      </c>
      <c r="BW300">
        <v>15326.006641509826</v>
      </c>
      <c r="CG300">
        <v>276</v>
      </c>
      <c r="CH300">
        <v>685512.2646565286</v>
      </c>
      <c r="CI300">
        <v>1225.6053434713976</v>
      </c>
    </row>
    <row r="301" spans="13:87">
      <c r="M301">
        <v>277</v>
      </c>
      <c r="N301">
        <v>751957.24104004633</v>
      </c>
      <c r="O301">
        <v>-78880.901040046359</v>
      </c>
      <c r="Y301">
        <v>277</v>
      </c>
      <c r="Z301">
        <v>679800.67047341121</v>
      </c>
      <c r="AA301">
        <v>-6724.3304734112462</v>
      </c>
      <c r="AK301">
        <v>277</v>
      </c>
      <c r="AL301">
        <v>689279.95752473956</v>
      </c>
      <c r="AM301">
        <v>-16203.617524739588</v>
      </c>
      <c r="AW301">
        <v>277</v>
      </c>
      <c r="AX301">
        <v>678652.7682300657</v>
      </c>
      <c r="AY301">
        <v>-5576.428230065736</v>
      </c>
      <c r="BI301">
        <v>277</v>
      </c>
      <c r="BJ301">
        <v>645083.73049099126</v>
      </c>
      <c r="BK301">
        <v>27992.609509008704</v>
      </c>
      <c r="BU301">
        <v>277</v>
      </c>
      <c r="BV301">
        <v>725037.1987272721</v>
      </c>
      <c r="BW301">
        <v>-51960.858727272134</v>
      </c>
      <c r="CG301">
        <v>277</v>
      </c>
      <c r="CH301">
        <v>683398.31812952249</v>
      </c>
      <c r="CI301">
        <v>-10321.978129522526</v>
      </c>
    </row>
    <row r="302" spans="13:87">
      <c r="M302">
        <v>278</v>
      </c>
      <c r="N302">
        <v>731870.50954614975</v>
      </c>
      <c r="O302">
        <v>6677.910453850287</v>
      </c>
      <c r="Y302">
        <v>278</v>
      </c>
      <c r="Z302">
        <v>697835.62958654074</v>
      </c>
      <c r="AA302">
        <v>40712.790413459297</v>
      </c>
      <c r="AK302">
        <v>278</v>
      </c>
      <c r="AL302">
        <v>723248.01504519116</v>
      </c>
      <c r="AM302">
        <v>15300.404954808881</v>
      </c>
      <c r="AW302">
        <v>278</v>
      </c>
      <c r="AX302">
        <v>681535.94975336432</v>
      </c>
      <c r="AY302">
        <v>57012.470246635727</v>
      </c>
      <c r="BI302">
        <v>278</v>
      </c>
      <c r="BJ302">
        <v>683624.88430945028</v>
      </c>
      <c r="BK302">
        <v>54923.535690549761</v>
      </c>
      <c r="BU302">
        <v>278</v>
      </c>
      <c r="BV302">
        <v>671411.86335849017</v>
      </c>
      <c r="BW302">
        <v>67136.556641509873</v>
      </c>
      <c r="CG302">
        <v>278</v>
      </c>
      <c r="CH302">
        <v>680227.39833901334</v>
      </c>
      <c r="CI302">
        <v>58321.021660986706</v>
      </c>
    </row>
    <row r="303" spans="13:87">
      <c r="M303">
        <v>279</v>
      </c>
      <c r="N303">
        <v>779072.54465525306</v>
      </c>
      <c r="O303">
        <v>-22452.774655253044</v>
      </c>
      <c r="Y303">
        <v>279</v>
      </c>
      <c r="Z303">
        <v>668286.04273195169</v>
      </c>
      <c r="AA303">
        <v>88333.727268048329</v>
      </c>
      <c r="AK303">
        <v>279</v>
      </c>
      <c r="AL303">
        <v>706263.98628496542</v>
      </c>
      <c r="AM303">
        <v>50355.783715034602</v>
      </c>
      <c r="AW303">
        <v>279</v>
      </c>
      <c r="AX303">
        <v>676656.7194831667</v>
      </c>
      <c r="AY303">
        <v>79963.050516833318</v>
      </c>
      <c r="BI303">
        <v>279</v>
      </c>
      <c r="BJ303">
        <v>688720.15549222962</v>
      </c>
      <c r="BK303">
        <v>67899.614507770399</v>
      </c>
      <c r="BU303">
        <v>279</v>
      </c>
      <c r="BV303">
        <v>671411.86335849017</v>
      </c>
      <c r="BW303">
        <v>85207.90664150985</v>
      </c>
      <c r="CG303">
        <v>279</v>
      </c>
      <c r="CH303">
        <v>680755.88497076486</v>
      </c>
      <c r="CI303">
        <v>75863.885029235156</v>
      </c>
    </row>
    <row r="304" spans="13:87">
      <c r="M304">
        <v>280</v>
      </c>
      <c r="N304">
        <v>771401.76797463535</v>
      </c>
      <c r="O304">
        <v>-10279.347974635311</v>
      </c>
      <c r="Y304">
        <v>280</v>
      </c>
      <c r="Z304">
        <v>697280.70776767517</v>
      </c>
      <c r="AA304">
        <v>63841.712232324877</v>
      </c>
      <c r="AK304">
        <v>280</v>
      </c>
      <c r="AL304">
        <v>791184.13008609414</v>
      </c>
      <c r="AM304">
        <v>-30061.710086094099</v>
      </c>
      <c r="AW304">
        <v>280</v>
      </c>
      <c r="AX304">
        <v>677765.63545366609</v>
      </c>
      <c r="AY304">
        <v>83356.784546333947</v>
      </c>
      <c r="BI304">
        <v>280</v>
      </c>
      <c r="BJ304">
        <v>682945.51481841307</v>
      </c>
      <c r="BK304">
        <v>78176.905181586975</v>
      </c>
      <c r="BU304">
        <v>280</v>
      </c>
      <c r="BV304">
        <v>671411.86335849017</v>
      </c>
      <c r="BW304">
        <v>89710.556641509873</v>
      </c>
      <c r="CG304">
        <v>280</v>
      </c>
      <c r="CH304">
        <v>681812.85823426791</v>
      </c>
      <c r="CI304">
        <v>79309.561765732127</v>
      </c>
    </row>
    <row r="305" spans="13:87">
      <c r="M305">
        <v>281</v>
      </c>
      <c r="N305">
        <v>589907.62390811334</v>
      </c>
      <c r="O305">
        <v>-65008.05390811339</v>
      </c>
      <c r="Y305">
        <v>281</v>
      </c>
      <c r="Z305">
        <v>688263.22821111046</v>
      </c>
      <c r="AA305">
        <v>-163363.65821111051</v>
      </c>
      <c r="AK305">
        <v>281</v>
      </c>
      <c r="AL305">
        <v>570391.75620315922</v>
      </c>
      <c r="AM305">
        <v>-45492.186203159275</v>
      </c>
      <c r="AW305">
        <v>281</v>
      </c>
      <c r="AX305">
        <v>668894.30768967047</v>
      </c>
      <c r="AY305">
        <v>-143994.73768967052</v>
      </c>
      <c r="BI305">
        <v>281</v>
      </c>
      <c r="BJ305">
        <v>689268.8770042212</v>
      </c>
      <c r="BK305">
        <v>-164369.30700422125</v>
      </c>
      <c r="BU305">
        <v>281</v>
      </c>
      <c r="BV305">
        <v>725037.1987272721</v>
      </c>
      <c r="BW305">
        <v>-200137.62872727215</v>
      </c>
      <c r="CG305">
        <v>281</v>
      </c>
      <c r="CH305">
        <v>681284.37160251639</v>
      </c>
      <c r="CI305">
        <v>-156384.80160251644</v>
      </c>
    </row>
    <row r="306" spans="13:87">
      <c r="M306">
        <v>282</v>
      </c>
      <c r="N306">
        <v>601788.40825530258</v>
      </c>
      <c r="O306">
        <v>-46230.638255302561</v>
      </c>
      <c r="Y306">
        <v>282</v>
      </c>
      <c r="Z306">
        <v>690760.37639600527</v>
      </c>
      <c r="AA306">
        <v>-135202.60639600526</v>
      </c>
      <c r="AK306">
        <v>282</v>
      </c>
      <c r="AL306">
        <v>655311.90000428807</v>
      </c>
      <c r="AM306">
        <v>-99754.130004288047</v>
      </c>
      <c r="AW306">
        <v>282</v>
      </c>
      <c r="AX306">
        <v>679761.68420056521</v>
      </c>
      <c r="AY306">
        <v>-124203.9142005652</v>
      </c>
      <c r="BI306">
        <v>282</v>
      </c>
      <c r="BJ306">
        <v>684408.77218372398</v>
      </c>
      <c r="BK306">
        <v>-128851.00218372396</v>
      </c>
      <c r="BU306">
        <v>282</v>
      </c>
      <c r="BV306">
        <v>671411.86335849017</v>
      </c>
      <c r="BW306">
        <v>-115854.09335849015</v>
      </c>
      <c r="CG306">
        <v>282</v>
      </c>
      <c r="CH306">
        <v>680227.39833901334</v>
      </c>
      <c r="CI306">
        <v>-124669.62833901332</v>
      </c>
    </row>
    <row r="307" spans="13:87">
      <c r="M307">
        <v>283</v>
      </c>
      <c r="N307">
        <v>651380.87144627282</v>
      </c>
      <c r="O307">
        <v>62702.808553727227</v>
      </c>
      <c r="Y307">
        <v>283</v>
      </c>
      <c r="Z307">
        <v>688124.49775639409</v>
      </c>
      <c r="AA307">
        <v>25959.182243605959</v>
      </c>
      <c r="AK307">
        <v>283</v>
      </c>
      <c r="AL307">
        <v>689279.95752473956</v>
      </c>
      <c r="AM307">
        <v>24803.722475260496</v>
      </c>
      <c r="AW307">
        <v>283</v>
      </c>
      <c r="AX307">
        <v>697282.55653445667</v>
      </c>
      <c r="AY307">
        <v>16801.12346554338</v>
      </c>
      <c r="BI307">
        <v>283</v>
      </c>
      <c r="BJ307">
        <v>684251.99460886931</v>
      </c>
      <c r="BK307">
        <v>29831.685391130741</v>
      </c>
      <c r="BU307">
        <v>283</v>
      </c>
      <c r="BV307">
        <v>671411.86335849017</v>
      </c>
      <c r="BW307">
        <v>42671.816641509882</v>
      </c>
      <c r="CG307">
        <v>283</v>
      </c>
      <c r="CH307">
        <v>680227.39833901334</v>
      </c>
      <c r="CI307">
        <v>33856.281660986715</v>
      </c>
    </row>
    <row r="308" spans="13:87">
      <c r="M308">
        <v>284</v>
      </c>
      <c r="N308">
        <v>554407.98299083614</v>
      </c>
      <c r="O308">
        <v>-56968.162990836136</v>
      </c>
      <c r="Y308">
        <v>284</v>
      </c>
      <c r="Z308">
        <v>680910.51411114226</v>
      </c>
      <c r="AA308">
        <v>-183470.69411114225</v>
      </c>
      <c r="AK308">
        <v>284</v>
      </c>
      <c r="AL308">
        <v>587375.78496338497</v>
      </c>
      <c r="AM308">
        <v>-89935.964963384962</v>
      </c>
      <c r="AW308">
        <v>284</v>
      </c>
      <c r="AX308">
        <v>664236.86061357276</v>
      </c>
      <c r="AY308">
        <v>-166797.04061357275</v>
      </c>
      <c r="BI308">
        <v>284</v>
      </c>
      <c r="BJ308">
        <v>675655.35758766718</v>
      </c>
      <c r="BK308">
        <v>-178215.53758766718</v>
      </c>
      <c r="BU308">
        <v>284</v>
      </c>
      <c r="BV308">
        <v>671411.86335849017</v>
      </c>
      <c r="BW308">
        <v>-173972.04335849016</v>
      </c>
      <c r="CG308">
        <v>284</v>
      </c>
      <c r="CH308">
        <v>679170.42507551028</v>
      </c>
      <c r="CI308">
        <v>-181730.60507551028</v>
      </c>
    </row>
    <row r="309" spans="13:87">
      <c r="M309">
        <v>285</v>
      </c>
      <c r="N309">
        <v>644851.79175997968</v>
      </c>
      <c r="O309">
        <v>-8076.1317599796457</v>
      </c>
      <c r="Y309">
        <v>285</v>
      </c>
      <c r="Z309">
        <v>696587.05549409334</v>
      </c>
      <c r="AA309">
        <v>-59811.395494093304</v>
      </c>
      <c r="AK309">
        <v>285</v>
      </c>
      <c r="AL309">
        <v>621343.84248383646</v>
      </c>
      <c r="AM309">
        <v>15431.817516163574</v>
      </c>
      <c r="AW309">
        <v>285</v>
      </c>
      <c r="AX309">
        <v>676213.1530949669</v>
      </c>
      <c r="AY309">
        <v>-39437.493094966863</v>
      </c>
      <c r="BI309">
        <v>285</v>
      </c>
      <c r="BJ309">
        <v>691960.22537256102</v>
      </c>
      <c r="BK309">
        <v>-55184.565372560988</v>
      </c>
      <c r="BU309">
        <v>285</v>
      </c>
      <c r="BV309">
        <v>725037.1987272721</v>
      </c>
      <c r="BW309">
        <v>-88261.538727272069</v>
      </c>
      <c r="CG309">
        <v>285</v>
      </c>
      <c r="CH309">
        <v>677584.96518025571</v>
      </c>
      <c r="CI309">
        <v>-40809.305180255673</v>
      </c>
    </row>
    <row r="310" spans="13:87">
      <c r="M310">
        <v>286</v>
      </c>
      <c r="N310">
        <v>606497.90835689125</v>
      </c>
      <c r="O310">
        <v>26511.621643108781</v>
      </c>
      <c r="Y310">
        <v>286</v>
      </c>
      <c r="Z310">
        <v>678413.36592624744</v>
      </c>
      <c r="AA310">
        <v>-45403.835926247411</v>
      </c>
      <c r="AK310">
        <v>286</v>
      </c>
      <c r="AL310">
        <v>570391.75620315922</v>
      </c>
      <c r="AM310">
        <v>62617.773796840804</v>
      </c>
      <c r="AW310">
        <v>286</v>
      </c>
      <c r="AX310">
        <v>685306.26405306254</v>
      </c>
      <c r="AY310">
        <v>-52296.734053062508</v>
      </c>
      <c r="BI310">
        <v>286</v>
      </c>
      <c r="BJ310">
        <v>690941.1711360052</v>
      </c>
      <c r="BK310">
        <v>-57931.641136005172</v>
      </c>
      <c r="BU310">
        <v>286</v>
      </c>
      <c r="BV310">
        <v>671411.86335849017</v>
      </c>
      <c r="BW310">
        <v>-38402.333358490141</v>
      </c>
      <c r="CG310">
        <v>286</v>
      </c>
      <c r="CH310">
        <v>677584.96518025571</v>
      </c>
      <c r="CI310">
        <v>-44575.435180255678</v>
      </c>
    </row>
    <row r="311" spans="13:87">
      <c r="M311">
        <v>287</v>
      </c>
      <c r="N311">
        <v>594902.54825828306</v>
      </c>
      <c r="O311">
        <v>15046.451741716941</v>
      </c>
      <c r="Y311">
        <v>287</v>
      </c>
      <c r="Z311">
        <v>672447.95637344313</v>
      </c>
      <c r="AA311">
        <v>-62498.956373443129</v>
      </c>
      <c r="AK311">
        <v>287</v>
      </c>
      <c r="AL311">
        <v>587375.78496338497</v>
      </c>
      <c r="AM311">
        <v>22573.215036615031</v>
      </c>
      <c r="AW311">
        <v>287</v>
      </c>
      <c r="AX311">
        <v>688854.79515866074</v>
      </c>
      <c r="AY311">
        <v>-78905.795158660738</v>
      </c>
      <c r="BI311">
        <v>287</v>
      </c>
      <c r="BJ311">
        <v>691960.22537256102</v>
      </c>
      <c r="BK311">
        <v>-82011.225372561021</v>
      </c>
      <c r="BU311">
        <v>287</v>
      </c>
      <c r="BV311">
        <v>725037.1987272721</v>
      </c>
      <c r="BW311">
        <v>-115088.1987272721</v>
      </c>
      <c r="CG311">
        <v>287</v>
      </c>
      <c r="CH311">
        <v>679170.42507551028</v>
      </c>
      <c r="CI311">
        <v>-69221.425075510284</v>
      </c>
    </row>
    <row r="312" spans="13:87">
      <c r="M312">
        <v>288</v>
      </c>
      <c r="N312">
        <v>592476.4421453434</v>
      </c>
      <c r="O312">
        <v>-44372.742145343451</v>
      </c>
      <c r="Y312">
        <v>288</v>
      </c>
      <c r="Z312">
        <v>673696.53046589054</v>
      </c>
      <c r="AA312">
        <v>-125592.83046589058</v>
      </c>
      <c r="AK312">
        <v>288</v>
      </c>
      <c r="AL312">
        <v>621343.84248383646</v>
      </c>
      <c r="AM312">
        <v>-73240.142483836506</v>
      </c>
      <c r="AW312">
        <v>288</v>
      </c>
      <c r="AX312">
        <v>667563.60852507118</v>
      </c>
      <c r="AY312">
        <v>-119459.90852507122</v>
      </c>
      <c r="BI312">
        <v>288</v>
      </c>
      <c r="BJ312">
        <v>688929.19225870259</v>
      </c>
      <c r="BK312">
        <v>-140825.49225870264</v>
      </c>
      <c r="BU312">
        <v>288</v>
      </c>
      <c r="BV312">
        <v>671411.86335849017</v>
      </c>
      <c r="BW312">
        <v>-123308.16335849022</v>
      </c>
      <c r="CG312">
        <v>288</v>
      </c>
      <c r="CH312">
        <v>675999.50528500113</v>
      </c>
      <c r="CI312">
        <v>-127895.80528500117</v>
      </c>
    </row>
    <row r="313" spans="13:87">
      <c r="M313">
        <v>289</v>
      </c>
      <c r="N313">
        <v>749102.99855423509</v>
      </c>
      <c r="O313">
        <v>-19678.57855423505</v>
      </c>
      <c r="Y313">
        <v>289</v>
      </c>
      <c r="Z313">
        <v>659962.21544896881</v>
      </c>
      <c r="AA313">
        <v>69462.204551031231</v>
      </c>
      <c r="AK313">
        <v>289</v>
      </c>
      <c r="AL313">
        <v>791184.13008609414</v>
      </c>
      <c r="AM313">
        <v>-61759.710086094099</v>
      </c>
      <c r="AW313">
        <v>289</v>
      </c>
      <c r="AX313">
        <v>646494.2050855814</v>
      </c>
      <c r="AY313">
        <v>82930.214914418641</v>
      </c>
      <c r="BI313">
        <v>289</v>
      </c>
      <c r="BJ313">
        <v>683755.53228849592</v>
      </c>
      <c r="BK313">
        <v>45668.887711504125</v>
      </c>
      <c r="BU313">
        <v>289</v>
      </c>
      <c r="BV313">
        <v>671411.86335849017</v>
      </c>
      <c r="BW313">
        <v>58012.556641509873</v>
      </c>
      <c r="CG313">
        <v>289</v>
      </c>
      <c r="CH313">
        <v>681812.85823426791</v>
      </c>
      <c r="CI313">
        <v>47611.561765732127</v>
      </c>
    </row>
    <row r="314" spans="13:87">
      <c r="M314">
        <v>290</v>
      </c>
      <c r="N314">
        <v>724485.15711411322</v>
      </c>
      <c r="O314">
        <v>-28223.667114113225</v>
      </c>
      <c r="Y314">
        <v>290</v>
      </c>
      <c r="Z314">
        <v>658436.18044708867</v>
      </c>
      <c r="AA314">
        <v>37825.30955291132</v>
      </c>
      <c r="AK314">
        <v>290</v>
      </c>
      <c r="AL314">
        <v>774200.1013258684</v>
      </c>
      <c r="AM314">
        <v>-77938.611325868405</v>
      </c>
      <c r="AW314">
        <v>290</v>
      </c>
      <c r="AX314">
        <v>682201.29933566402</v>
      </c>
      <c r="AY314">
        <v>14060.190664335969</v>
      </c>
      <c r="BI314">
        <v>290</v>
      </c>
      <c r="BJ314">
        <v>691620.54062704241</v>
      </c>
      <c r="BK314">
        <v>4640.949372957577</v>
      </c>
      <c r="BU314">
        <v>290</v>
      </c>
      <c r="BV314">
        <v>671411.86335849017</v>
      </c>
      <c r="BW314">
        <v>24849.626641509822</v>
      </c>
      <c r="CG314">
        <v>290</v>
      </c>
      <c r="CH314">
        <v>680227.39833901334</v>
      </c>
      <c r="CI314">
        <v>16034.091660986654</v>
      </c>
    </row>
    <row r="315" spans="13:87">
      <c r="M315">
        <v>291</v>
      </c>
      <c r="N315">
        <v>742538.24083686923</v>
      </c>
      <c r="O315">
        <v>70778.469163130736</v>
      </c>
      <c r="Y315">
        <v>291</v>
      </c>
      <c r="Z315">
        <v>693396.25503561657</v>
      </c>
      <c r="AA315">
        <v>119920.45496438339</v>
      </c>
      <c r="AK315">
        <v>291</v>
      </c>
      <c r="AL315">
        <v>757216.07256564265</v>
      </c>
      <c r="AM315">
        <v>56100.637434357312</v>
      </c>
      <c r="AW315">
        <v>291</v>
      </c>
      <c r="AX315">
        <v>669337.87407787028</v>
      </c>
      <c r="AY315">
        <v>143978.83592212969</v>
      </c>
      <c r="BI315">
        <v>291</v>
      </c>
      <c r="BJ315">
        <v>683494.23633040464</v>
      </c>
      <c r="BK315">
        <v>129822.47366959532</v>
      </c>
      <c r="BU315">
        <v>291</v>
      </c>
      <c r="BV315">
        <v>725037.1987272721</v>
      </c>
      <c r="BW315">
        <v>88279.511272727861</v>
      </c>
      <c r="CG315">
        <v>291</v>
      </c>
      <c r="CH315">
        <v>678641.93844375876</v>
      </c>
      <c r="CI315">
        <v>134674.7715562412</v>
      </c>
    </row>
    <row r="316" spans="13:87">
      <c r="M316">
        <v>292</v>
      </c>
      <c r="N316">
        <v>699118.07702146587</v>
      </c>
      <c r="O316">
        <v>2950.8429785341723</v>
      </c>
      <c r="Y316">
        <v>292</v>
      </c>
      <c r="Z316">
        <v>697835.62958654074</v>
      </c>
      <c r="AA316">
        <v>4233.2904134592973</v>
      </c>
      <c r="AK316">
        <v>292</v>
      </c>
      <c r="AL316">
        <v>655311.90000428807</v>
      </c>
      <c r="AM316">
        <v>46757.019995711977</v>
      </c>
      <c r="AW316">
        <v>292</v>
      </c>
      <c r="AX316">
        <v>699943.95486365538</v>
      </c>
      <c r="AY316">
        <v>2124.965136344661</v>
      </c>
      <c r="BI316">
        <v>292</v>
      </c>
      <c r="BJ316">
        <v>678555.74272248009</v>
      </c>
      <c r="BK316">
        <v>23513.17727751995</v>
      </c>
      <c r="BU316">
        <v>292</v>
      </c>
      <c r="BV316">
        <v>671411.86335849017</v>
      </c>
      <c r="BW316">
        <v>30657.056641509873</v>
      </c>
      <c r="CG316">
        <v>292</v>
      </c>
      <c r="CH316">
        <v>679698.91170726181</v>
      </c>
      <c r="CI316">
        <v>22370.008292738232</v>
      </c>
    </row>
    <row r="317" spans="13:87">
      <c r="M317">
        <v>293</v>
      </c>
      <c r="N317">
        <v>583200.15406645695</v>
      </c>
      <c r="O317">
        <v>-36976.454066456994</v>
      </c>
      <c r="Y317">
        <v>293</v>
      </c>
      <c r="Z317">
        <v>684517.50593376823</v>
      </c>
      <c r="AA317">
        <v>-138293.80593376828</v>
      </c>
      <c r="AK317">
        <v>293</v>
      </c>
      <c r="AL317">
        <v>536423.69868270773</v>
      </c>
      <c r="AM317">
        <v>9800.001317292219</v>
      </c>
      <c r="AW317">
        <v>293</v>
      </c>
      <c r="AX317">
        <v>677100.2858713665</v>
      </c>
      <c r="AY317">
        <v>-130876.58587136655</v>
      </c>
      <c r="BI317">
        <v>293</v>
      </c>
      <c r="BJ317">
        <v>676700.54142003227</v>
      </c>
      <c r="BK317">
        <v>-130476.84142003232</v>
      </c>
      <c r="BU317">
        <v>293</v>
      </c>
      <c r="BV317">
        <v>671411.86335849017</v>
      </c>
      <c r="BW317">
        <v>-125188.16335849022</v>
      </c>
      <c r="CG317">
        <v>293</v>
      </c>
      <c r="CH317">
        <v>677584.96518025571</v>
      </c>
      <c r="CI317">
        <v>-131361.26518025575</v>
      </c>
    </row>
    <row r="318" spans="13:87">
      <c r="M318">
        <v>294</v>
      </c>
      <c r="N318">
        <v>530539.38020323962</v>
      </c>
      <c r="O318">
        <v>2581.8797967603896</v>
      </c>
      <c r="Y318">
        <v>294</v>
      </c>
      <c r="Z318">
        <v>681326.70547529147</v>
      </c>
      <c r="AA318">
        <v>-148205.44547529146</v>
      </c>
      <c r="AK318">
        <v>294</v>
      </c>
      <c r="AL318">
        <v>553407.72744293348</v>
      </c>
      <c r="AM318">
        <v>-20286.46744293347</v>
      </c>
      <c r="AW318">
        <v>294</v>
      </c>
      <c r="AX318">
        <v>681535.94975336432</v>
      </c>
      <c r="AY318">
        <v>-148414.68975336431</v>
      </c>
      <c r="BI318">
        <v>294</v>
      </c>
      <c r="BJ318">
        <v>688302.08195928356</v>
      </c>
      <c r="BK318">
        <v>-155180.82195928355</v>
      </c>
      <c r="BU318">
        <v>294</v>
      </c>
      <c r="BV318">
        <v>671411.86335849017</v>
      </c>
      <c r="BW318">
        <v>-138290.60335849016</v>
      </c>
      <c r="CG318">
        <v>294</v>
      </c>
      <c r="CH318">
        <v>679170.42507551028</v>
      </c>
      <c r="CI318">
        <v>-146049.16507551027</v>
      </c>
    </row>
    <row r="319" spans="13:87">
      <c r="M319">
        <v>295</v>
      </c>
      <c r="N319">
        <v>490330.23918437387</v>
      </c>
      <c r="O319">
        <v>8640.0808156261337</v>
      </c>
      <c r="Y319">
        <v>295</v>
      </c>
      <c r="Z319">
        <v>668147.31227723532</v>
      </c>
      <c r="AA319">
        <v>-169176.99227723532</v>
      </c>
      <c r="AK319">
        <v>295</v>
      </c>
      <c r="AL319">
        <v>570391.75620315922</v>
      </c>
      <c r="AM319">
        <v>-71421.436203159217</v>
      </c>
      <c r="AW319">
        <v>295</v>
      </c>
      <c r="AX319">
        <v>672886.40518346848</v>
      </c>
      <c r="AY319">
        <v>-173916.08518346847</v>
      </c>
      <c r="BI319">
        <v>295</v>
      </c>
      <c r="BJ319">
        <v>669070.69944376778</v>
      </c>
      <c r="BK319">
        <v>-170100.37944376777</v>
      </c>
      <c r="BU319">
        <v>295</v>
      </c>
      <c r="BV319">
        <v>671411.86335849017</v>
      </c>
      <c r="BW319">
        <v>-172441.54335849016</v>
      </c>
      <c r="CG319">
        <v>295</v>
      </c>
      <c r="CH319">
        <v>676527.99191675265</v>
      </c>
      <c r="CI319">
        <v>-177557.67191675265</v>
      </c>
    </row>
    <row r="320" spans="13:87">
      <c r="M320">
        <v>296</v>
      </c>
      <c r="N320">
        <v>507883.83047211292</v>
      </c>
      <c r="O320">
        <v>-20145.570472112915</v>
      </c>
      <c r="Y320">
        <v>296</v>
      </c>
      <c r="Z320">
        <v>674112.72183003963</v>
      </c>
      <c r="AA320">
        <v>-186374.46183003963</v>
      </c>
      <c r="AK320">
        <v>296</v>
      </c>
      <c r="AL320">
        <v>553407.72744293348</v>
      </c>
      <c r="AM320">
        <v>-65669.46744293347</v>
      </c>
      <c r="AW320">
        <v>296</v>
      </c>
      <c r="AX320">
        <v>664458.64380767266</v>
      </c>
      <c r="AY320">
        <v>-176720.38380767265</v>
      </c>
      <c r="BI320">
        <v>296</v>
      </c>
      <c r="BJ320">
        <v>690549.22719886829</v>
      </c>
      <c r="BK320">
        <v>-202810.96719886828</v>
      </c>
      <c r="BU320">
        <v>296</v>
      </c>
      <c r="BV320">
        <v>671411.86335849017</v>
      </c>
      <c r="BW320">
        <v>-183673.60335849016</v>
      </c>
      <c r="CG320">
        <v>296</v>
      </c>
      <c r="CH320">
        <v>677056.47854850418</v>
      </c>
      <c r="CI320">
        <v>-189318.21854850417</v>
      </c>
    </row>
    <row r="321" spans="13:87">
      <c r="M321">
        <v>297</v>
      </c>
      <c r="N321">
        <v>656768.25413824152</v>
      </c>
      <c r="O321">
        <v>11691.115861758473</v>
      </c>
      <c r="Y321">
        <v>297</v>
      </c>
      <c r="Z321">
        <v>692841.33321675099</v>
      </c>
      <c r="AA321">
        <v>-24381.963216750999</v>
      </c>
      <c r="AK321">
        <v>297</v>
      </c>
      <c r="AL321">
        <v>604359.81372361071</v>
      </c>
      <c r="AM321">
        <v>64099.556276389281</v>
      </c>
      <c r="AW321">
        <v>297</v>
      </c>
      <c r="AX321">
        <v>691294.41029375955</v>
      </c>
      <c r="AY321">
        <v>-22835.04029375955</v>
      </c>
      <c r="BI321">
        <v>297</v>
      </c>
      <c r="BJ321">
        <v>676465.37505775015</v>
      </c>
      <c r="BK321">
        <v>-8006.0050577501534</v>
      </c>
      <c r="BU321">
        <v>297</v>
      </c>
      <c r="BV321">
        <v>671411.86335849017</v>
      </c>
      <c r="BW321">
        <v>-2952.4933584901737</v>
      </c>
      <c r="CG321">
        <v>297</v>
      </c>
      <c r="CH321">
        <v>683926.80476127402</v>
      </c>
      <c r="CI321">
        <v>-15467.434761274024</v>
      </c>
    </row>
    <row r="322" spans="13:87">
      <c r="M322">
        <v>298</v>
      </c>
      <c r="N322">
        <v>657018.00035575009</v>
      </c>
      <c r="O322">
        <v>106144.44964424986</v>
      </c>
      <c r="Y322">
        <v>298</v>
      </c>
      <c r="Z322">
        <v>683685.12320546992</v>
      </c>
      <c r="AA322">
        <v>79477.326794530032</v>
      </c>
      <c r="AK322">
        <v>298</v>
      </c>
      <c r="AL322">
        <v>638327.87124406232</v>
      </c>
      <c r="AM322">
        <v>124834.57875593763</v>
      </c>
      <c r="AW322">
        <v>298</v>
      </c>
      <c r="AX322">
        <v>698169.68931085616</v>
      </c>
      <c r="AY322">
        <v>64992.76068914379</v>
      </c>
      <c r="BI322">
        <v>298</v>
      </c>
      <c r="BJ322">
        <v>688798.54427965696</v>
      </c>
      <c r="BK322">
        <v>74363.905720342998</v>
      </c>
      <c r="BU322">
        <v>298</v>
      </c>
      <c r="BV322">
        <v>671411.86335849017</v>
      </c>
      <c r="BW322">
        <v>91750.586641509784</v>
      </c>
      <c r="CG322">
        <v>298</v>
      </c>
      <c r="CH322">
        <v>683926.80476127402</v>
      </c>
      <c r="CI322">
        <v>79235.645238725934</v>
      </c>
    </row>
    <row r="323" spans="13:87">
      <c r="M323">
        <v>299</v>
      </c>
      <c r="N323">
        <v>621161.5791277464</v>
      </c>
      <c r="O323">
        <v>-22144.249127746443</v>
      </c>
      <c r="Y323">
        <v>299</v>
      </c>
      <c r="Z323">
        <v>682020.3577488733</v>
      </c>
      <c r="AA323">
        <v>-83003.027748873341</v>
      </c>
      <c r="AK323">
        <v>299</v>
      </c>
      <c r="AL323">
        <v>587375.78496338497</v>
      </c>
      <c r="AM323">
        <v>11641.545036614989</v>
      </c>
      <c r="AW323">
        <v>299</v>
      </c>
      <c r="AX323">
        <v>688189.44557636115</v>
      </c>
      <c r="AY323">
        <v>-89172.11557636119</v>
      </c>
      <c r="BI323">
        <v>299</v>
      </c>
      <c r="BJ323">
        <v>682684.21886032179</v>
      </c>
      <c r="BK323">
        <v>-83666.888860321837</v>
      </c>
      <c r="BU323">
        <v>299</v>
      </c>
      <c r="BV323">
        <v>671411.86335849017</v>
      </c>
      <c r="BW323">
        <v>-72394.533358490211</v>
      </c>
      <c r="CG323">
        <v>299</v>
      </c>
      <c r="CH323">
        <v>684983.77802477707</v>
      </c>
      <c r="CI323">
        <v>-85966.448024777113</v>
      </c>
    </row>
    <row r="324" spans="13:87">
      <c r="M324">
        <v>300</v>
      </c>
      <c r="N324">
        <v>498571.86436215381</v>
      </c>
      <c r="O324">
        <v>-96989.28436215379</v>
      </c>
      <c r="Y324">
        <v>300</v>
      </c>
      <c r="Z324">
        <v>681604.1663847242</v>
      </c>
      <c r="AA324">
        <v>-280021.58638472419</v>
      </c>
      <c r="AK324">
        <v>300</v>
      </c>
      <c r="AL324">
        <v>502455.64116225619</v>
      </c>
      <c r="AM324">
        <v>-100873.06116225617</v>
      </c>
      <c r="AW324">
        <v>300</v>
      </c>
      <c r="AX324">
        <v>682866.64891796373</v>
      </c>
      <c r="AY324">
        <v>-281284.06891796371</v>
      </c>
      <c r="BI324">
        <v>300</v>
      </c>
      <c r="BJ324">
        <v>653131.6460002017</v>
      </c>
      <c r="BK324">
        <v>-251549.06600020168</v>
      </c>
      <c r="BU324">
        <v>300</v>
      </c>
      <c r="BV324">
        <v>671411.86335849017</v>
      </c>
      <c r="BW324">
        <v>-269829.28335849015</v>
      </c>
      <c r="CG324">
        <v>300</v>
      </c>
      <c r="CH324">
        <v>684455.29139302555</v>
      </c>
      <c r="CI324">
        <v>-282872.71139302553</v>
      </c>
    </row>
    <row r="325" spans="13:87">
      <c r="M325">
        <v>301</v>
      </c>
      <c r="N325">
        <v>740825.69534538244</v>
      </c>
      <c r="O325">
        <v>-37012.705345382448</v>
      </c>
      <c r="Y325">
        <v>301</v>
      </c>
      <c r="Z325">
        <v>678274.63547153107</v>
      </c>
      <c r="AA325">
        <v>25538.354528468917</v>
      </c>
      <c r="AK325">
        <v>301</v>
      </c>
      <c r="AL325">
        <v>774200.1013258684</v>
      </c>
      <c r="AM325">
        <v>-70387.111325868405</v>
      </c>
      <c r="AW325">
        <v>301</v>
      </c>
      <c r="AX325">
        <v>680427.03378286492</v>
      </c>
      <c r="AY325">
        <v>23385.95621713507</v>
      </c>
      <c r="BI325">
        <v>301</v>
      </c>
      <c r="BJ325">
        <v>679235.11221351731</v>
      </c>
      <c r="BK325">
        <v>24577.877786482684</v>
      </c>
      <c r="BU325">
        <v>301</v>
      </c>
      <c r="BV325">
        <v>725037.1987272721</v>
      </c>
      <c r="BW325">
        <v>-21224.208727272111</v>
      </c>
      <c r="CG325">
        <v>301</v>
      </c>
      <c r="CH325">
        <v>679698.91170726181</v>
      </c>
      <c r="CI325">
        <v>24114.078292738181</v>
      </c>
    </row>
    <row r="326" spans="13:87">
      <c r="M326">
        <v>302</v>
      </c>
      <c r="N326">
        <v>731442.37317327806</v>
      </c>
      <c r="O326">
        <v>-7095.6431732780766</v>
      </c>
      <c r="Y326">
        <v>302</v>
      </c>
      <c r="Z326">
        <v>687569.57593752863</v>
      </c>
      <c r="AA326">
        <v>36777.154062471353</v>
      </c>
      <c r="AK326">
        <v>302</v>
      </c>
      <c r="AL326">
        <v>740232.04380541691</v>
      </c>
      <c r="AM326">
        <v>-15885.313805416925</v>
      </c>
      <c r="AW326">
        <v>302</v>
      </c>
      <c r="AX326">
        <v>669559.65727197018</v>
      </c>
      <c r="AY326">
        <v>54787.072728029802</v>
      </c>
      <c r="BI326">
        <v>302</v>
      </c>
      <c r="BJ326">
        <v>683076.1627974587</v>
      </c>
      <c r="BK326">
        <v>41270.567202541279</v>
      </c>
      <c r="BU326">
        <v>302</v>
      </c>
      <c r="BV326">
        <v>671411.86335849017</v>
      </c>
      <c r="BW326">
        <v>52934.866641509812</v>
      </c>
      <c r="CG326">
        <v>302</v>
      </c>
      <c r="CH326">
        <v>681812.85823426791</v>
      </c>
      <c r="CI326">
        <v>42533.871765732067</v>
      </c>
    </row>
    <row r="327" spans="13:87">
      <c r="M327">
        <v>303</v>
      </c>
      <c r="N327">
        <v>741396.54384254478</v>
      </c>
      <c r="O327">
        <v>-10506.53384254477</v>
      </c>
      <c r="Y327">
        <v>303</v>
      </c>
      <c r="Z327">
        <v>678690.82683568017</v>
      </c>
      <c r="AA327">
        <v>52199.183164319838</v>
      </c>
      <c r="AK327">
        <v>303</v>
      </c>
      <c r="AL327">
        <v>723248.01504519116</v>
      </c>
      <c r="AM327">
        <v>7641.994954808848</v>
      </c>
      <c r="AW327">
        <v>303</v>
      </c>
      <c r="AX327">
        <v>678430.9850359658</v>
      </c>
      <c r="AY327">
        <v>52459.024964034208</v>
      </c>
      <c r="BI327">
        <v>303</v>
      </c>
      <c r="BJ327">
        <v>681011.92472853779</v>
      </c>
      <c r="BK327">
        <v>49878.085271462216</v>
      </c>
      <c r="BU327">
        <v>303</v>
      </c>
      <c r="BV327">
        <v>725037.1987272721</v>
      </c>
      <c r="BW327">
        <v>5852.8112727279076</v>
      </c>
      <c r="CG327">
        <v>303</v>
      </c>
      <c r="CH327">
        <v>676527.99191675265</v>
      </c>
      <c r="CI327">
        <v>54362.018083247356</v>
      </c>
    </row>
    <row r="328" spans="13:87">
      <c r="M328">
        <v>304</v>
      </c>
      <c r="N328">
        <v>738363.9112013703</v>
      </c>
      <c r="O328">
        <v>42217.038798629656</v>
      </c>
      <c r="Y328">
        <v>304</v>
      </c>
      <c r="Z328">
        <v>670366.99955269741</v>
      </c>
      <c r="AA328">
        <v>110213.95044730254</v>
      </c>
      <c r="AK328">
        <v>304</v>
      </c>
      <c r="AL328">
        <v>706263.98628496542</v>
      </c>
      <c r="AM328">
        <v>74316.963715034537</v>
      </c>
      <c r="AW328">
        <v>304</v>
      </c>
      <c r="AX328">
        <v>691072.62709965964</v>
      </c>
      <c r="AY328">
        <v>89508.32290034031</v>
      </c>
      <c r="BI328">
        <v>304</v>
      </c>
      <c r="BJ328">
        <v>685192.6600579978</v>
      </c>
      <c r="BK328">
        <v>95388.289942002157</v>
      </c>
      <c r="BU328">
        <v>304</v>
      </c>
      <c r="BV328">
        <v>671411.86335849017</v>
      </c>
      <c r="BW328">
        <v>109169.08664150978</v>
      </c>
      <c r="CG328">
        <v>304</v>
      </c>
      <c r="CH328">
        <v>679170.42507551028</v>
      </c>
      <c r="CI328">
        <v>101410.52492448967</v>
      </c>
    </row>
    <row r="329" spans="13:87">
      <c r="M329">
        <v>305</v>
      </c>
      <c r="N329">
        <v>679530.8379625862</v>
      </c>
      <c r="O329">
        <v>48426.642037413782</v>
      </c>
      <c r="Y329">
        <v>305</v>
      </c>
      <c r="Z329">
        <v>672447.95637344313</v>
      </c>
      <c r="AA329">
        <v>55509.523626556853</v>
      </c>
      <c r="AK329">
        <v>305</v>
      </c>
      <c r="AL329">
        <v>638327.87124406232</v>
      </c>
      <c r="AM329">
        <v>89629.608755937661</v>
      </c>
      <c r="AW329">
        <v>305</v>
      </c>
      <c r="AX329">
        <v>694399.37501115806</v>
      </c>
      <c r="AY329">
        <v>33558.104988841922</v>
      </c>
      <c r="BI329">
        <v>305</v>
      </c>
      <c r="BJ329">
        <v>688406.60034252005</v>
      </c>
      <c r="BK329">
        <v>39550.879657479934</v>
      </c>
      <c r="BU329">
        <v>305</v>
      </c>
      <c r="BV329">
        <v>671411.86335849017</v>
      </c>
      <c r="BW329">
        <v>56545.616641509812</v>
      </c>
      <c r="CG329">
        <v>305</v>
      </c>
      <c r="CH329">
        <v>680227.39833901334</v>
      </c>
      <c r="CI329">
        <v>47730.081660986645</v>
      </c>
    </row>
    <row r="330" spans="13:87">
      <c r="M330">
        <v>306</v>
      </c>
      <c r="N330">
        <v>653485.87527955859</v>
      </c>
      <c r="O330">
        <v>-115109.87527955859</v>
      </c>
      <c r="Y330">
        <v>306</v>
      </c>
      <c r="Z330">
        <v>691315.29821487085</v>
      </c>
      <c r="AA330">
        <v>-152939.29821487085</v>
      </c>
      <c r="AK330">
        <v>306</v>
      </c>
      <c r="AL330">
        <v>672295.92876451381</v>
      </c>
      <c r="AM330">
        <v>-133919.92876451381</v>
      </c>
      <c r="AW330">
        <v>306</v>
      </c>
      <c r="AX330">
        <v>677543.85225956631</v>
      </c>
      <c r="AY330">
        <v>-139167.85225956631</v>
      </c>
      <c r="BI330">
        <v>306</v>
      </c>
      <c r="BJ330">
        <v>651145.79671870824</v>
      </c>
      <c r="BK330">
        <v>-112769.79671870824</v>
      </c>
      <c r="BU330">
        <v>306</v>
      </c>
      <c r="BV330">
        <v>671411.86335849017</v>
      </c>
      <c r="BW330">
        <v>-133035.86335849017</v>
      </c>
      <c r="CG330">
        <v>306</v>
      </c>
      <c r="CH330">
        <v>681284.37160251639</v>
      </c>
      <c r="CI330">
        <v>-142908.37160251639</v>
      </c>
    </row>
    <row r="331" spans="13:87">
      <c r="M331">
        <v>307</v>
      </c>
      <c r="N331">
        <v>671217.85672266094</v>
      </c>
      <c r="O331">
        <v>-5875.3667226609541</v>
      </c>
      <c r="Y331">
        <v>307</v>
      </c>
      <c r="Z331">
        <v>677580.98319794913</v>
      </c>
      <c r="AA331">
        <v>-12238.493197949138</v>
      </c>
      <c r="AK331">
        <v>307</v>
      </c>
      <c r="AL331">
        <v>638327.87124406232</v>
      </c>
      <c r="AM331">
        <v>27014.61875593767</v>
      </c>
      <c r="AW331">
        <v>307</v>
      </c>
      <c r="AX331">
        <v>675326.02031856729</v>
      </c>
      <c r="AY331">
        <v>-9983.5303185672965</v>
      </c>
      <c r="BI331">
        <v>307</v>
      </c>
      <c r="BJ331">
        <v>689425.65457907598</v>
      </c>
      <c r="BK331">
        <v>-24083.164579075994</v>
      </c>
      <c r="BU331">
        <v>307</v>
      </c>
      <c r="BV331">
        <v>725037.1987272721</v>
      </c>
      <c r="BW331">
        <v>-59694.708727272111</v>
      </c>
      <c r="CG331">
        <v>307</v>
      </c>
      <c r="CH331">
        <v>681812.85823426791</v>
      </c>
      <c r="CI331">
        <v>-16470.368234267924</v>
      </c>
    </row>
    <row r="332" spans="13:87">
      <c r="M332">
        <v>308</v>
      </c>
      <c r="N332">
        <v>674714.30376777973</v>
      </c>
      <c r="O332">
        <v>-23550.123767779674</v>
      </c>
      <c r="Y332">
        <v>308</v>
      </c>
      <c r="Z332">
        <v>687430.84548281215</v>
      </c>
      <c r="AA332">
        <v>-36266.665482812095</v>
      </c>
      <c r="AK332">
        <v>308</v>
      </c>
      <c r="AL332">
        <v>672295.92876451381</v>
      </c>
      <c r="AM332">
        <v>-21131.748764513759</v>
      </c>
      <c r="AW332">
        <v>308</v>
      </c>
      <c r="AX332">
        <v>704379.61874565319</v>
      </c>
      <c r="AY332">
        <v>-53215.43874565314</v>
      </c>
      <c r="BI332">
        <v>308</v>
      </c>
      <c r="BJ332">
        <v>682501.31168965786</v>
      </c>
      <c r="BK332">
        <v>-31337.131689657806</v>
      </c>
      <c r="BU332">
        <v>308</v>
      </c>
      <c r="BV332">
        <v>671411.86335849017</v>
      </c>
      <c r="BW332">
        <v>-20247.683358490118</v>
      </c>
      <c r="CG332">
        <v>308</v>
      </c>
      <c r="CH332">
        <v>682869.83149777097</v>
      </c>
      <c r="CI332">
        <v>-31705.651497770916</v>
      </c>
    </row>
    <row r="333" spans="13:87">
      <c r="M333">
        <v>309</v>
      </c>
      <c r="N333">
        <v>651880.36388128984</v>
      </c>
      <c r="O333">
        <v>-23342.063881289796</v>
      </c>
      <c r="Y333">
        <v>309</v>
      </c>
      <c r="Z333">
        <v>676471.13956021809</v>
      </c>
      <c r="AA333">
        <v>-47932.839560218039</v>
      </c>
      <c r="AK333">
        <v>309</v>
      </c>
      <c r="AL333">
        <v>621343.84248383646</v>
      </c>
      <c r="AM333">
        <v>7194.4575161635876</v>
      </c>
      <c r="AW333">
        <v>309</v>
      </c>
      <c r="AX333">
        <v>678874.55142416561</v>
      </c>
      <c r="AY333">
        <v>-50336.251424165559</v>
      </c>
      <c r="BI333">
        <v>309</v>
      </c>
      <c r="BJ333">
        <v>681665.16462376597</v>
      </c>
      <c r="BK333">
        <v>-53126.864623765927</v>
      </c>
      <c r="BU333">
        <v>309</v>
      </c>
      <c r="BV333">
        <v>671411.86335849017</v>
      </c>
      <c r="BW333">
        <v>-42873.563358490122</v>
      </c>
      <c r="CG333">
        <v>309</v>
      </c>
      <c r="CH333">
        <v>680227.39833901334</v>
      </c>
      <c r="CI333">
        <v>-51689.09833901329</v>
      </c>
    </row>
    <row r="334" spans="13:87">
      <c r="M334">
        <v>310</v>
      </c>
      <c r="N334">
        <v>634968.97715285828</v>
      </c>
      <c r="O334">
        <v>-98444.137152858311</v>
      </c>
      <c r="Y334">
        <v>310</v>
      </c>
      <c r="Z334">
        <v>674667.64364890521</v>
      </c>
      <c r="AA334">
        <v>-138142.80364890525</v>
      </c>
      <c r="AK334">
        <v>310</v>
      </c>
      <c r="AL334">
        <v>638327.87124406232</v>
      </c>
      <c r="AM334">
        <v>-101803.03124406235</v>
      </c>
      <c r="AW334">
        <v>310</v>
      </c>
      <c r="AX334">
        <v>661575.46228437405</v>
      </c>
      <c r="AY334">
        <v>-125050.62228437408</v>
      </c>
      <c r="BI334">
        <v>310</v>
      </c>
      <c r="BJ334">
        <v>689608.56174973981</v>
      </c>
      <c r="BK334">
        <v>-153083.72174973984</v>
      </c>
      <c r="BU334">
        <v>310</v>
      </c>
      <c r="BV334">
        <v>671411.86335849017</v>
      </c>
      <c r="BW334">
        <v>-134887.0233584902</v>
      </c>
      <c r="CG334">
        <v>310</v>
      </c>
      <c r="CH334">
        <v>678641.93844375876</v>
      </c>
      <c r="CI334">
        <v>-142117.09844375879</v>
      </c>
    </row>
    <row r="335" spans="13:87">
      <c r="M335">
        <v>311</v>
      </c>
      <c r="N335">
        <v>640285.00378268166</v>
      </c>
      <c r="O335">
        <v>-18607.703782681609</v>
      </c>
      <c r="Y335">
        <v>311</v>
      </c>
      <c r="Z335">
        <v>670089.53864326456</v>
      </c>
      <c r="AA335">
        <v>-48412.238643264514</v>
      </c>
      <c r="AK335">
        <v>311</v>
      </c>
      <c r="AL335">
        <v>621343.84248383646</v>
      </c>
      <c r="AM335">
        <v>333.45751616358757</v>
      </c>
      <c r="AW335">
        <v>311</v>
      </c>
      <c r="AX335">
        <v>674882.4539303676</v>
      </c>
      <c r="AY335">
        <v>-53205.153930367553</v>
      </c>
      <c r="BI335">
        <v>311</v>
      </c>
      <c r="BJ335">
        <v>664785.44573107129</v>
      </c>
      <c r="BK335">
        <v>-43108.145731071243</v>
      </c>
      <c r="BU335">
        <v>311</v>
      </c>
      <c r="BV335">
        <v>671411.86335849017</v>
      </c>
      <c r="BW335">
        <v>-49734.563358490122</v>
      </c>
      <c r="CG335">
        <v>311</v>
      </c>
      <c r="CH335">
        <v>679170.42507551028</v>
      </c>
      <c r="CI335">
        <v>-57493.125075510237</v>
      </c>
    </row>
    <row r="336" spans="13:87">
      <c r="M336">
        <v>312</v>
      </c>
      <c r="N336">
        <v>713246.5773262314</v>
      </c>
      <c r="O336">
        <v>57882.492673768546</v>
      </c>
      <c r="Y336">
        <v>312</v>
      </c>
      <c r="Z336">
        <v>678135.90501681471</v>
      </c>
      <c r="AA336">
        <v>92993.164983185241</v>
      </c>
      <c r="AK336">
        <v>312</v>
      </c>
      <c r="AL336">
        <v>740232.04380541691</v>
      </c>
      <c r="AM336">
        <v>30897.026194583043</v>
      </c>
      <c r="AW336">
        <v>312</v>
      </c>
      <c r="AX336">
        <v>682201.29933566402</v>
      </c>
      <c r="AY336">
        <v>88927.770664335927</v>
      </c>
      <c r="BI336">
        <v>312</v>
      </c>
      <c r="BJ336">
        <v>690131.15366592235</v>
      </c>
      <c r="BK336">
        <v>80997.916334077599</v>
      </c>
      <c r="BU336">
        <v>312</v>
      </c>
      <c r="BV336">
        <v>671411.86335849017</v>
      </c>
      <c r="BW336">
        <v>99717.20664150978</v>
      </c>
      <c r="CG336">
        <v>312</v>
      </c>
      <c r="CH336">
        <v>680755.88497076486</v>
      </c>
      <c r="CI336">
        <v>90373.185029235086</v>
      </c>
    </row>
    <row r="337" spans="13:87">
      <c r="M337">
        <v>313</v>
      </c>
      <c r="N337">
        <v>666329.96646570927</v>
      </c>
      <c r="O337">
        <v>35722.503534290707</v>
      </c>
      <c r="Y337">
        <v>313</v>
      </c>
      <c r="Z337">
        <v>694922.29003749671</v>
      </c>
      <c r="AA337">
        <v>7130.1799625032581</v>
      </c>
      <c r="AK337">
        <v>313</v>
      </c>
      <c r="AL337">
        <v>672295.92876451381</v>
      </c>
      <c r="AM337">
        <v>29756.541235486162</v>
      </c>
      <c r="AW337">
        <v>313</v>
      </c>
      <c r="AX337">
        <v>674438.88754216779</v>
      </c>
      <c r="AY337">
        <v>27613.582457832177</v>
      </c>
      <c r="BI337">
        <v>313</v>
      </c>
      <c r="BJ337">
        <v>691960.22537256102</v>
      </c>
      <c r="BK337">
        <v>10092.244627438951</v>
      </c>
      <c r="BU337">
        <v>313</v>
      </c>
      <c r="BV337">
        <v>671411.86335849017</v>
      </c>
      <c r="BW337">
        <v>30640.606641509803</v>
      </c>
      <c r="CG337">
        <v>313</v>
      </c>
      <c r="CH337">
        <v>683398.31812952249</v>
      </c>
      <c r="CI337">
        <v>18654.151870477479</v>
      </c>
    </row>
    <row r="338" spans="13:87">
      <c r="M338">
        <v>314</v>
      </c>
      <c r="N338">
        <v>730871.52467611583</v>
      </c>
      <c r="O338">
        <v>-42503.064676115871</v>
      </c>
      <c r="Y338">
        <v>314</v>
      </c>
      <c r="Z338">
        <v>672447.95637344313</v>
      </c>
      <c r="AA338">
        <v>15920.503626556834</v>
      </c>
      <c r="AK338">
        <v>314</v>
      </c>
      <c r="AL338">
        <v>706263.98628496542</v>
      </c>
      <c r="AM338">
        <v>-17895.526284965454</v>
      </c>
      <c r="AW338">
        <v>314</v>
      </c>
      <c r="AX338">
        <v>695064.72459345777</v>
      </c>
      <c r="AY338">
        <v>-6696.2645934578031</v>
      </c>
      <c r="BI338">
        <v>314</v>
      </c>
      <c r="BJ338">
        <v>680280.29604588228</v>
      </c>
      <c r="BK338">
        <v>8088.1639541176846</v>
      </c>
      <c r="BU338">
        <v>314</v>
      </c>
      <c r="BV338">
        <v>671411.86335849017</v>
      </c>
      <c r="BW338">
        <v>16956.596641509794</v>
      </c>
      <c r="CG338">
        <v>314</v>
      </c>
      <c r="CH338">
        <v>680755.88497076486</v>
      </c>
      <c r="CI338">
        <v>7612.5750292351004</v>
      </c>
    </row>
    <row r="339" spans="13:87">
      <c r="M339">
        <v>315</v>
      </c>
      <c r="N339">
        <v>660478.76936979615</v>
      </c>
      <c r="O339">
        <v>51897.000630203867</v>
      </c>
      <c r="Y339">
        <v>315</v>
      </c>
      <c r="Z339">
        <v>685211.15820735006</v>
      </c>
      <c r="AA339">
        <v>27164.611792649957</v>
      </c>
      <c r="AK339">
        <v>315</v>
      </c>
      <c r="AL339">
        <v>638327.87124406232</v>
      </c>
      <c r="AM339">
        <v>74047.898755937698</v>
      </c>
      <c r="AW339">
        <v>315</v>
      </c>
      <c r="AX339">
        <v>702605.35319285409</v>
      </c>
      <c r="AY339">
        <v>9770.416807145928</v>
      </c>
      <c r="BI339">
        <v>315</v>
      </c>
      <c r="BJ339">
        <v>681038.05432434694</v>
      </c>
      <c r="BK339">
        <v>31337.715675653075</v>
      </c>
      <c r="BU339">
        <v>315</v>
      </c>
      <c r="BV339">
        <v>725037.1987272721</v>
      </c>
      <c r="BW339">
        <v>-12661.428727272083</v>
      </c>
      <c r="CG339">
        <v>315</v>
      </c>
      <c r="CH339">
        <v>680755.88497076486</v>
      </c>
      <c r="CI339">
        <v>31619.885029235156</v>
      </c>
    </row>
    <row r="340" spans="13:87">
      <c r="M340">
        <v>316</v>
      </c>
      <c r="N340">
        <v>802013.51863496087</v>
      </c>
      <c r="O340">
        <v>42697.151365039172</v>
      </c>
      <c r="Y340">
        <v>316</v>
      </c>
      <c r="Z340">
        <v>682852.74047717161</v>
      </c>
      <c r="AA340">
        <v>161857.92952282843</v>
      </c>
      <c r="AK340">
        <v>316</v>
      </c>
      <c r="AL340">
        <v>740232.04380541691</v>
      </c>
      <c r="AM340">
        <v>104478.62619458314</v>
      </c>
      <c r="AW340">
        <v>316</v>
      </c>
      <c r="AX340">
        <v>694842.94139935786</v>
      </c>
      <c r="AY340">
        <v>149867.72860064218</v>
      </c>
      <c r="BI340">
        <v>316</v>
      </c>
      <c r="BJ340">
        <v>680776.75836625567</v>
      </c>
      <c r="BK340">
        <v>163933.91163374437</v>
      </c>
      <c r="BU340">
        <v>316</v>
      </c>
      <c r="BV340">
        <v>671411.86335849017</v>
      </c>
      <c r="BW340">
        <v>173298.80664150987</v>
      </c>
      <c r="CG340">
        <v>316</v>
      </c>
      <c r="CH340">
        <v>679170.42507551028</v>
      </c>
      <c r="CI340">
        <v>165540.24492448976</v>
      </c>
    </row>
    <row r="341" spans="13:87">
      <c r="M341">
        <v>317</v>
      </c>
      <c r="N341">
        <v>647599.00015257299</v>
      </c>
      <c r="O341">
        <v>-27334.800152573036</v>
      </c>
      <c r="Y341">
        <v>317</v>
      </c>
      <c r="Z341">
        <v>673696.53046589054</v>
      </c>
      <c r="AA341">
        <v>-53432.330465890584</v>
      </c>
      <c r="AK341">
        <v>317</v>
      </c>
      <c r="AL341">
        <v>655311.90000428807</v>
      </c>
      <c r="AM341">
        <v>-35047.700004288112</v>
      </c>
      <c r="AW341">
        <v>317</v>
      </c>
      <c r="AX341">
        <v>690850.84390555974</v>
      </c>
      <c r="AY341">
        <v>-70586.643905559788</v>
      </c>
      <c r="BI341">
        <v>317</v>
      </c>
      <c r="BJ341">
        <v>689817.59851621289</v>
      </c>
      <c r="BK341">
        <v>-69553.398516212939</v>
      </c>
      <c r="BU341">
        <v>317</v>
      </c>
      <c r="BV341">
        <v>725037.1987272721</v>
      </c>
      <c r="BW341">
        <v>-104772.99872727215</v>
      </c>
      <c r="CG341">
        <v>317</v>
      </c>
      <c r="CH341">
        <v>680227.39833901334</v>
      </c>
      <c r="CI341">
        <v>-59963.198339013383</v>
      </c>
    </row>
    <row r="342" spans="13:87">
      <c r="M342">
        <v>318</v>
      </c>
      <c r="N342">
        <v>570070.63863172522</v>
      </c>
      <c r="O342">
        <v>-33225.218631725176</v>
      </c>
      <c r="Y342">
        <v>318</v>
      </c>
      <c r="Z342">
        <v>697835.62958654074</v>
      </c>
      <c r="AA342">
        <v>-160990.2095865407</v>
      </c>
      <c r="AK342">
        <v>318</v>
      </c>
      <c r="AL342">
        <v>587375.78496338497</v>
      </c>
      <c r="AM342">
        <v>-50530.364963384927</v>
      </c>
      <c r="AW342">
        <v>318</v>
      </c>
      <c r="AX342">
        <v>679983.46739466512</v>
      </c>
      <c r="AY342">
        <v>-143138.04739466507</v>
      </c>
      <c r="BI342">
        <v>318</v>
      </c>
      <c r="BJ342">
        <v>691960.22537256102</v>
      </c>
      <c r="BK342">
        <v>-155114.80537256098</v>
      </c>
      <c r="BU342">
        <v>318</v>
      </c>
      <c r="BV342">
        <v>671411.86335849017</v>
      </c>
      <c r="BW342">
        <v>-134566.44335849013</v>
      </c>
      <c r="CG342">
        <v>318</v>
      </c>
      <c r="CH342">
        <v>681284.37160251639</v>
      </c>
      <c r="CI342">
        <v>-144438.95160251635</v>
      </c>
    </row>
    <row r="343" spans="13:87">
      <c r="M343">
        <v>319</v>
      </c>
      <c r="N343">
        <v>723807.27452373295</v>
      </c>
      <c r="O343">
        <v>2968.9454762670211</v>
      </c>
      <c r="Y343">
        <v>319</v>
      </c>
      <c r="Z343">
        <v>668008.58182251884</v>
      </c>
      <c r="AA343">
        <v>58767.638177481131</v>
      </c>
      <c r="AK343">
        <v>319</v>
      </c>
      <c r="AL343">
        <v>740232.04380541691</v>
      </c>
      <c r="AM343">
        <v>-13455.823805416934</v>
      </c>
      <c r="AW343">
        <v>319</v>
      </c>
      <c r="AX343">
        <v>673773.53795986809</v>
      </c>
      <c r="AY343">
        <v>53002.682040131884</v>
      </c>
      <c r="BI343">
        <v>319</v>
      </c>
      <c r="BJ343">
        <v>679705.44493808155</v>
      </c>
      <c r="BK343">
        <v>47070.775061918423</v>
      </c>
      <c r="BU343">
        <v>319</v>
      </c>
      <c r="BV343">
        <v>725037.1987272721</v>
      </c>
      <c r="BW343">
        <v>1739.0212727278704</v>
      </c>
      <c r="CG343">
        <v>319</v>
      </c>
      <c r="CH343">
        <v>679170.42507551028</v>
      </c>
      <c r="CI343">
        <v>47605.794924489688</v>
      </c>
    </row>
    <row r="344" spans="13:87" ht="24.6" thickBot="1">
      <c r="M344" s="7">
        <v>320</v>
      </c>
      <c r="N344" s="7">
        <v>636110.67414718273</v>
      </c>
      <c r="O344" s="7">
        <v>-76449.834147182759</v>
      </c>
      <c r="Y344" s="7">
        <v>320</v>
      </c>
      <c r="Z344" s="7">
        <v>674945.10455833795</v>
      </c>
      <c r="AA344" s="7">
        <v>-115284.26455833798</v>
      </c>
      <c r="AK344" s="7">
        <v>320</v>
      </c>
      <c r="AL344" s="7">
        <v>689279.95752473956</v>
      </c>
      <c r="AM344" s="7">
        <v>-129619.11752473959</v>
      </c>
      <c r="AW344" s="7">
        <v>320</v>
      </c>
      <c r="AX344" s="7">
        <v>671777.48921296909</v>
      </c>
      <c r="AY344" s="7">
        <v>-112116.64921296912</v>
      </c>
      <c r="BI344" s="7">
        <v>320</v>
      </c>
      <c r="BJ344" s="7">
        <v>661597.63504235807</v>
      </c>
      <c r="BK344" s="7">
        <v>-101936.79504235811</v>
      </c>
      <c r="BU344" s="7">
        <v>320</v>
      </c>
      <c r="BV344" s="7">
        <v>671411.86335849017</v>
      </c>
      <c r="BW344" s="7">
        <v>-111751.0233584902</v>
      </c>
      <c r="CG344" s="7">
        <v>320</v>
      </c>
      <c r="CH344" s="7">
        <v>679698.91170726181</v>
      </c>
      <c r="CI344" s="7">
        <v>-120038.07170726184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3D57D-61AB-4FDC-ADC0-0F242B7EB059}">
  <dimension ref="A1:I357"/>
  <sheetViews>
    <sheetView topLeftCell="A25" zoomScale="66" workbookViewId="0">
      <selection activeCell="A37" sqref="A37:C42"/>
    </sheetView>
  </sheetViews>
  <sheetFormatPr defaultRowHeight="24"/>
  <cols>
    <col min="1" max="1" width="21.19921875" bestFit="1" customWidth="1"/>
    <col min="2" max="2" width="22.09765625" bestFit="1" customWidth="1"/>
    <col min="3" max="3" width="14" bestFit="1" customWidth="1"/>
    <col min="4" max="4" width="12.5" bestFit="1" customWidth="1"/>
    <col min="5" max="5" width="12.19921875" bestFit="1" customWidth="1"/>
    <col min="6" max="6" width="13.5" bestFit="1" customWidth="1"/>
    <col min="7" max="7" width="12.5" bestFit="1" customWidth="1"/>
    <col min="8" max="9" width="12.69921875" bestFit="1" customWidth="1"/>
  </cols>
  <sheetData>
    <row r="1" spans="1:9">
      <c r="A1" t="s">
        <v>119</v>
      </c>
    </row>
    <row r="2" spans="1:9" ht="24.6" thickBot="1"/>
    <row r="3" spans="1:9">
      <c r="A3" s="9" t="s">
        <v>120</v>
      </c>
      <c r="B3" s="9"/>
    </row>
    <row r="4" spans="1:9">
      <c r="A4" t="s">
        <v>121</v>
      </c>
      <c r="B4">
        <v>0.92573613166855373</v>
      </c>
    </row>
    <row r="5" spans="1:9">
      <c r="A5" t="s">
        <v>122</v>
      </c>
      <c r="B5">
        <v>0.85698738547665776</v>
      </c>
    </row>
    <row r="6" spans="1:9">
      <c r="A6" t="s">
        <v>123</v>
      </c>
      <c r="B6">
        <v>0.85042287202312727</v>
      </c>
    </row>
    <row r="7" spans="1:9">
      <c r="A7" t="s">
        <v>124</v>
      </c>
      <c r="B7">
        <v>40133.892517127199</v>
      </c>
    </row>
    <row r="8" spans="1:9" ht="24.6" thickBot="1">
      <c r="A8" s="7" t="s">
        <v>125</v>
      </c>
      <c r="B8" s="7">
        <v>320</v>
      </c>
    </row>
    <row r="10" spans="1:9" ht="24.6" thickBot="1">
      <c r="A10" t="s">
        <v>126</v>
      </c>
    </row>
    <row r="11" spans="1:9">
      <c r="A11" s="8"/>
      <c r="B11" s="8" t="s">
        <v>131</v>
      </c>
      <c r="C11" s="8" t="s">
        <v>132</v>
      </c>
      <c r="D11" s="8" t="s">
        <v>133</v>
      </c>
      <c r="E11" s="8" t="s">
        <v>134</v>
      </c>
      <c r="F11" s="8" t="s">
        <v>135</v>
      </c>
    </row>
    <row r="12" spans="1:9">
      <c r="A12" t="s">
        <v>127</v>
      </c>
      <c r="B12">
        <v>14</v>
      </c>
      <c r="C12">
        <v>2943896171574.9624</v>
      </c>
      <c r="D12">
        <v>210278297969.64017</v>
      </c>
      <c r="E12">
        <v>130.54850013533911</v>
      </c>
      <c r="F12">
        <v>1.2489132303717946E-119</v>
      </c>
    </row>
    <row r="13" spans="1:9">
      <c r="A13" t="s">
        <v>128</v>
      </c>
      <c r="B13">
        <v>305</v>
      </c>
      <c r="C13">
        <v>491272445215.77704</v>
      </c>
      <c r="D13">
        <v>1610729328.5763183</v>
      </c>
    </row>
    <row r="14" spans="1:9" ht="24.6" thickBot="1">
      <c r="A14" s="7" t="s">
        <v>129</v>
      </c>
      <c r="B14" s="7">
        <v>319</v>
      </c>
      <c r="C14" s="7">
        <v>3435168616790.7393</v>
      </c>
      <c r="D14" s="7"/>
      <c r="E14" s="7"/>
      <c r="F14" s="7"/>
    </row>
    <row r="15" spans="1:9" ht="24.6" thickBot="1"/>
    <row r="16" spans="1:9">
      <c r="A16" s="8"/>
      <c r="B16" s="8" t="s">
        <v>136</v>
      </c>
      <c r="C16" s="8" t="s">
        <v>124</v>
      </c>
      <c r="D16" s="8" t="s">
        <v>137</v>
      </c>
      <c r="E16" s="8" t="s">
        <v>138</v>
      </c>
      <c r="F16" s="8" t="s">
        <v>139</v>
      </c>
      <c r="G16" s="8" t="s">
        <v>140</v>
      </c>
      <c r="H16" s="8" t="s">
        <v>141</v>
      </c>
      <c r="I16" s="8" t="s">
        <v>142</v>
      </c>
    </row>
    <row r="17" spans="1:9">
      <c r="A17" t="s">
        <v>130</v>
      </c>
      <c r="B17">
        <v>66915.468924518631</v>
      </c>
      <c r="C17">
        <v>45630.387784046769</v>
      </c>
      <c r="D17">
        <v>1.4664672419881017</v>
      </c>
      <c r="E17">
        <v>0.14355130035180108</v>
      </c>
      <c r="F17">
        <v>-22874.746684633486</v>
      </c>
      <c r="G17">
        <v>156705.68453367075</v>
      </c>
      <c r="H17">
        <v>-22874.746684633486</v>
      </c>
      <c r="I17">
        <v>156705.68453367075</v>
      </c>
    </row>
    <row r="18" spans="1:9">
      <c r="A18" t="s">
        <v>4</v>
      </c>
      <c r="B18">
        <v>1.2099284920573774</v>
      </c>
      <c r="C18">
        <v>0.11693921413810557</v>
      </c>
      <c r="D18">
        <v>10.346644630503913</v>
      </c>
      <c r="E18">
        <v>1.0557024697739366E-21</v>
      </c>
      <c r="F18">
        <v>0.97981873931281926</v>
      </c>
      <c r="G18">
        <v>1.4400382448019355</v>
      </c>
      <c r="H18">
        <v>0.97981873931281926</v>
      </c>
      <c r="I18">
        <v>1.4400382448019355</v>
      </c>
    </row>
    <row r="19" spans="1:9">
      <c r="A19" t="s">
        <v>5</v>
      </c>
      <c r="B19">
        <v>27.336194815634371</v>
      </c>
      <c r="C19">
        <v>2.3063597168415444</v>
      </c>
      <c r="D19">
        <v>11.852528734359815</v>
      </c>
      <c r="E19">
        <v>6.5475707037028176E-27</v>
      </c>
      <c r="F19">
        <v>22.797803925170204</v>
      </c>
      <c r="G19">
        <v>31.874585706098539</v>
      </c>
      <c r="H19">
        <v>22.797803925170204</v>
      </c>
      <c r="I19">
        <v>31.874585706098539</v>
      </c>
    </row>
    <row r="20" spans="1:9">
      <c r="A20" t="s">
        <v>6</v>
      </c>
      <c r="B20">
        <v>-41243.148834222586</v>
      </c>
      <c r="C20">
        <v>33875.970771640081</v>
      </c>
      <c r="D20">
        <v>-1.2174750389367464</v>
      </c>
      <c r="E20">
        <v>0.22436462895841544</v>
      </c>
      <c r="F20">
        <v>-107903.34760242904</v>
      </c>
      <c r="G20">
        <v>25417.049933983879</v>
      </c>
      <c r="H20">
        <v>-107903.34760242904</v>
      </c>
      <c r="I20">
        <v>25417.049933983879</v>
      </c>
    </row>
    <row r="21" spans="1:9">
      <c r="A21" t="s">
        <v>7</v>
      </c>
      <c r="B21">
        <v>3508.3991633992582</v>
      </c>
      <c r="C21">
        <v>1161.80683514423</v>
      </c>
      <c r="D21">
        <v>3.0197783807699112</v>
      </c>
      <c r="E21">
        <v>2.7434138311830661E-3</v>
      </c>
      <c r="F21">
        <v>1222.2277918673494</v>
      </c>
      <c r="G21">
        <v>5794.5705349311665</v>
      </c>
      <c r="H21">
        <v>1222.2277918673494</v>
      </c>
      <c r="I21">
        <v>5794.5705349311665</v>
      </c>
    </row>
    <row r="22" spans="1:9">
      <c r="A22" t="s">
        <v>8</v>
      </c>
      <c r="B22">
        <v>3062.2102855188868</v>
      </c>
      <c r="C22">
        <v>426.10270671364907</v>
      </c>
      <c r="D22">
        <v>7.1865544087631514</v>
      </c>
      <c r="E22">
        <v>5.1341389903411138E-12</v>
      </c>
      <c r="F22">
        <v>2223.7371590459575</v>
      </c>
      <c r="G22">
        <v>3900.6834119918162</v>
      </c>
      <c r="H22">
        <v>2223.7371590459575</v>
      </c>
      <c r="I22">
        <v>3900.6834119918162</v>
      </c>
    </row>
    <row r="23" spans="1:9">
      <c r="A23" t="s">
        <v>9</v>
      </c>
      <c r="B23">
        <v>-3438.1079103628854</v>
      </c>
      <c r="C23">
        <v>540.2800364791791</v>
      </c>
      <c r="D23">
        <v>-6.3635664437425135</v>
      </c>
      <c r="E23">
        <v>7.2150944350523059E-10</v>
      </c>
      <c r="F23">
        <v>-4501.2560298655362</v>
      </c>
      <c r="G23">
        <v>-2374.9597908602345</v>
      </c>
      <c r="H23">
        <v>-4501.2560298655362</v>
      </c>
      <c r="I23">
        <v>-2374.9597908602345</v>
      </c>
    </row>
    <row r="24" spans="1:9">
      <c r="A24" t="s">
        <v>10</v>
      </c>
      <c r="B24">
        <v>15157.287282129999</v>
      </c>
      <c r="C24">
        <v>6127.8091647488791</v>
      </c>
      <c r="D24">
        <v>2.4735246928583412</v>
      </c>
      <c r="E24">
        <v>1.392316365638618E-2</v>
      </c>
      <c r="F24">
        <v>3099.1538137375519</v>
      </c>
      <c r="G24">
        <v>27215.420750522448</v>
      </c>
      <c r="H24">
        <v>3099.1538137375519</v>
      </c>
      <c r="I24">
        <v>27215.420750522448</v>
      </c>
    </row>
    <row r="25" spans="1:9">
      <c r="A25" t="s">
        <v>11</v>
      </c>
      <c r="B25">
        <v>12509.461305565348</v>
      </c>
      <c r="C25">
        <v>4448.885574303049</v>
      </c>
      <c r="D25">
        <v>2.811819071684047</v>
      </c>
      <c r="E25">
        <v>5.2453969385251164E-3</v>
      </c>
      <c r="F25">
        <v>3755.0672638653959</v>
      </c>
      <c r="G25">
        <v>21263.8553472653</v>
      </c>
      <c r="H25">
        <v>3755.0672638653959</v>
      </c>
      <c r="I25">
        <v>21263.8553472653</v>
      </c>
    </row>
    <row r="26" spans="1:9">
      <c r="A26" t="s">
        <v>114</v>
      </c>
      <c r="B26">
        <v>20219.259073528705</v>
      </c>
      <c r="C26">
        <v>5565.0328301921627</v>
      </c>
      <c r="D26">
        <v>3.6332686060417232</v>
      </c>
      <c r="E26">
        <v>3.2825494084840813E-4</v>
      </c>
      <c r="F26">
        <v>9268.541318075755</v>
      </c>
      <c r="G26">
        <v>31169.976828981657</v>
      </c>
      <c r="H26">
        <v>9268.541318075755</v>
      </c>
      <c r="I26">
        <v>31169.976828981657</v>
      </c>
    </row>
    <row r="27" spans="1:9">
      <c r="A27" t="s">
        <v>115</v>
      </c>
      <c r="B27">
        <v>32832.853512031317</v>
      </c>
      <c r="C27">
        <v>6158.3725326794656</v>
      </c>
      <c r="D27">
        <v>5.3314172434037488</v>
      </c>
      <c r="E27">
        <v>1.8999741407796835E-7</v>
      </c>
      <c r="F27">
        <v>20714.578293162915</v>
      </c>
      <c r="G27">
        <v>44951.12873089972</v>
      </c>
      <c r="H27">
        <v>20714.578293162915</v>
      </c>
      <c r="I27">
        <v>44951.12873089972</v>
      </c>
    </row>
    <row r="28" spans="1:9">
      <c r="A28" t="s">
        <v>116</v>
      </c>
      <c r="B28">
        <v>44695.094897740317</v>
      </c>
      <c r="C28">
        <v>8748.7921084708578</v>
      </c>
      <c r="D28">
        <v>5.1087160768702127</v>
      </c>
      <c r="E28">
        <v>5.7286744445538631E-7</v>
      </c>
      <c r="F28">
        <v>27479.46365092694</v>
      </c>
      <c r="G28">
        <v>61910.726144553693</v>
      </c>
      <c r="H28">
        <v>27479.46365092694</v>
      </c>
      <c r="I28">
        <v>61910.726144553693</v>
      </c>
    </row>
    <row r="29" spans="1:9">
      <c r="A29" t="s">
        <v>20</v>
      </c>
      <c r="B29">
        <v>-15342.705306151734</v>
      </c>
      <c r="C29">
        <v>6672.8091637719572</v>
      </c>
      <c r="D29">
        <v>-2.2992872910932944</v>
      </c>
      <c r="E29">
        <v>2.2164150258272015E-2</v>
      </c>
      <c r="F29">
        <v>-28473.27470585526</v>
      </c>
      <c r="G29">
        <v>-2212.1359064482094</v>
      </c>
      <c r="H29">
        <v>-28473.27470585526</v>
      </c>
      <c r="I29">
        <v>-2212.1359064482094</v>
      </c>
    </row>
    <row r="30" spans="1:9">
      <c r="A30" t="s">
        <v>117</v>
      </c>
      <c r="B30">
        <v>-4201.8532174942584</v>
      </c>
      <c r="C30">
        <v>6810.206159756036</v>
      </c>
      <c r="D30">
        <v>-0.61699354159416264</v>
      </c>
      <c r="E30">
        <v>0.53769928735346284</v>
      </c>
      <c r="F30">
        <v>-17602.788627494403</v>
      </c>
      <c r="G30">
        <v>9199.0821925058844</v>
      </c>
      <c r="H30">
        <v>-17602.788627494403</v>
      </c>
      <c r="I30">
        <v>9199.0821925058844</v>
      </c>
    </row>
    <row r="31" spans="1:9" ht="24.6" thickBot="1">
      <c r="A31" s="7" t="s">
        <v>118</v>
      </c>
      <c r="B31" s="7">
        <v>-25291.418908062988</v>
      </c>
      <c r="C31" s="7">
        <v>5898.7976000956187</v>
      </c>
      <c r="D31" s="7">
        <v>-4.2875549599554015</v>
      </c>
      <c r="E31" s="7">
        <v>2.4264744625085872E-5</v>
      </c>
      <c r="F31" s="7">
        <v>-36898.90975065696</v>
      </c>
      <c r="G31" s="7">
        <v>-13683.928065469017</v>
      </c>
      <c r="H31" s="7">
        <v>-36898.90975065696</v>
      </c>
      <c r="I31" s="7">
        <v>-13683.928065469017</v>
      </c>
    </row>
    <row r="35" spans="1:3">
      <c r="A35" t="s">
        <v>143</v>
      </c>
    </row>
    <row r="36" spans="1:3" ht="24.6" thickBot="1"/>
    <row r="37" spans="1:3">
      <c r="A37" s="8" t="s">
        <v>144</v>
      </c>
      <c r="B37" s="8" t="s">
        <v>145</v>
      </c>
      <c r="C37" s="8" t="s">
        <v>146</v>
      </c>
    </row>
    <row r="38" spans="1:3">
      <c r="A38">
        <v>90</v>
      </c>
      <c r="B38">
        <v>764038.71091153286</v>
      </c>
      <c r="C38">
        <v>-136866.81091153284</v>
      </c>
    </row>
    <row r="39" spans="1:3">
      <c r="A39">
        <v>67</v>
      </c>
      <c r="B39">
        <v>805279.85124381387</v>
      </c>
      <c r="C39">
        <v>-119900.77124381391</v>
      </c>
    </row>
    <row r="40" spans="1:3">
      <c r="A40">
        <v>45</v>
      </c>
      <c r="B40">
        <v>709913.77550614811</v>
      </c>
      <c r="C40">
        <v>-114446.17550614814</v>
      </c>
    </row>
    <row r="41" spans="1:3">
      <c r="A41">
        <v>26</v>
      </c>
      <c r="B41">
        <v>912344.87044907734</v>
      </c>
      <c r="C41">
        <v>-111892.93044907739</v>
      </c>
    </row>
    <row r="42" spans="1:3">
      <c r="A42">
        <v>237</v>
      </c>
      <c r="B42">
        <v>808021.70934991445</v>
      </c>
      <c r="C42">
        <v>-86942.359349914477</v>
      </c>
    </row>
    <row r="43" spans="1:3">
      <c r="A43">
        <v>269</v>
      </c>
      <c r="B43">
        <v>738721.15065497125</v>
      </c>
      <c r="C43">
        <v>-78087.16065497126</v>
      </c>
    </row>
    <row r="44" spans="1:3">
      <c r="A44">
        <v>56</v>
      </c>
      <c r="B44">
        <v>564482.66756867175</v>
      </c>
      <c r="C44">
        <v>-77017.757568671776</v>
      </c>
    </row>
    <row r="45" spans="1:3">
      <c r="A45">
        <v>208</v>
      </c>
      <c r="B45">
        <v>751678.00721937709</v>
      </c>
      <c r="C45">
        <v>-75760.377219377086</v>
      </c>
    </row>
    <row r="46" spans="1:3">
      <c r="A46">
        <v>4</v>
      </c>
      <c r="B46">
        <v>734611.65948180098</v>
      </c>
      <c r="C46">
        <v>-75691.35948180093</v>
      </c>
    </row>
    <row r="47" spans="1:3">
      <c r="A47">
        <v>137</v>
      </c>
      <c r="B47">
        <v>709078.68663852382</v>
      </c>
      <c r="C47">
        <v>-75440.656638523797</v>
      </c>
    </row>
    <row r="48" spans="1:3">
      <c r="A48">
        <v>272</v>
      </c>
      <c r="B48">
        <v>664860.65616798459</v>
      </c>
      <c r="C48">
        <v>-71517.656167984591</v>
      </c>
    </row>
    <row r="49" spans="1:3">
      <c r="A49">
        <v>21</v>
      </c>
      <c r="B49">
        <v>485820.74732565286</v>
      </c>
      <c r="C49">
        <v>-70098.927325652854</v>
      </c>
    </row>
    <row r="50" spans="1:3">
      <c r="A50">
        <v>281</v>
      </c>
      <c r="B50">
        <v>593329.67270229326</v>
      </c>
      <c r="C50">
        <v>-68430.102702293312</v>
      </c>
    </row>
    <row r="51" spans="1:3">
      <c r="A51">
        <v>33</v>
      </c>
      <c r="B51">
        <v>708669.49574378727</v>
      </c>
      <c r="C51">
        <v>-66804.465743787237</v>
      </c>
    </row>
    <row r="52" spans="1:3">
      <c r="A52">
        <v>256</v>
      </c>
      <c r="B52">
        <v>676430.74497138488</v>
      </c>
      <c r="C52">
        <v>-64040.604971384862</v>
      </c>
    </row>
    <row r="53" spans="1:3">
      <c r="A53">
        <v>131</v>
      </c>
      <c r="B53">
        <v>787979.29743129795</v>
      </c>
      <c r="C53">
        <v>-62744.017431297922</v>
      </c>
    </row>
    <row r="54" spans="1:3">
      <c r="A54">
        <v>134</v>
      </c>
      <c r="B54">
        <v>462518.95140277961</v>
      </c>
      <c r="C54">
        <v>-61687.301402779587</v>
      </c>
    </row>
    <row r="55" spans="1:3">
      <c r="A55">
        <v>59</v>
      </c>
      <c r="B55">
        <v>677890.80195987469</v>
      </c>
      <c r="C55">
        <v>-60599.651959874667</v>
      </c>
    </row>
    <row r="56" spans="1:3">
      <c r="A56">
        <v>317</v>
      </c>
      <c r="B56">
        <v>680087.97876377916</v>
      </c>
      <c r="C56">
        <v>-59823.778763779206</v>
      </c>
    </row>
    <row r="57" spans="1:3">
      <c r="A57">
        <v>192</v>
      </c>
      <c r="B57">
        <v>613166.46997005481</v>
      </c>
      <c r="C57">
        <v>-59154.399970054859</v>
      </c>
    </row>
    <row r="58" spans="1:3">
      <c r="A58">
        <v>29</v>
      </c>
      <c r="B58">
        <v>570792.52316612145</v>
      </c>
      <c r="C58">
        <v>-58948.113166121475</v>
      </c>
    </row>
    <row r="59" spans="1:3">
      <c r="A59">
        <v>310</v>
      </c>
      <c r="B59">
        <v>592379.75637341326</v>
      </c>
      <c r="C59">
        <v>-55854.916373413289</v>
      </c>
    </row>
    <row r="60" spans="1:3">
      <c r="A60">
        <v>115</v>
      </c>
      <c r="B60">
        <v>752126.76761224307</v>
      </c>
      <c r="C60">
        <v>-54838.867612243048</v>
      </c>
    </row>
    <row r="61" spans="1:3">
      <c r="A61">
        <v>203</v>
      </c>
      <c r="B61">
        <v>661334.29699357401</v>
      </c>
      <c r="C61">
        <v>-54249.376993573969</v>
      </c>
    </row>
    <row r="62" spans="1:3">
      <c r="A62">
        <v>306</v>
      </c>
      <c r="B62">
        <v>590653.6592442625</v>
      </c>
      <c r="C62">
        <v>-52277.659244262497</v>
      </c>
    </row>
    <row r="63" spans="1:3">
      <c r="A63">
        <v>133</v>
      </c>
      <c r="B63">
        <v>579570.96773589228</v>
      </c>
      <c r="C63">
        <v>-52270.837735892273</v>
      </c>
    </row>
    <row r="64" spans="1:3">
      <c r="A64">
        <v>34</v>
      </c>
      <c r="B64">
        <v>851375.73984701885</v>
      </c>
      <c r="C64">
        <v>-51897.97984701884</v>
      </c>
    </row>
    <row r="65" spans="1:3">
      <c r="A65">
        <v>49</v>
      </c>
      <c r="B65">
        <v>674344.02914607374</v>
      </c>
      <c r="C65">
        <v>-51532.289146073745</v>
      </c>
    </row>
    <row r="66" spans="1:3">
      <c r="A66">
        <v>170</v>
      </c>
      <c r="B66">
        <v>645107.92654189293</v>
      </c>
      <c r="C66">
        <v>-51470.786541892914</v>
      </c>
    </row>
    <row r="67" spans="1:3">
      <c r="A67">
        <v>207</v>
      </c>
      <c r="B67">
        <v>722617.62268727215</v>
      </c>
      <c r="C67">
        <v>-50749.032687272178</v>
      </c>
    </row>
    <row r="68" spans="1:3">
      <c r="A68">
        <v>210</v>
      </c>
      <c r="B68">
        <v>739923.58719182445</v>
      </c>
      <c r="C68">
        <v>-48635.397191824508</v>
      </c>
    </row>
    <row r="69" spans="1:3">
      <c r="A69">
        <v>121</v>
      </c>
      <c r="B69">
        <v>558035.30137345567</v>
      </c>
      <c r="C69">
        <v>-48550.491373455676</v>
      </c>
    </row>
    <row r="70" spans="1:3">
      <c r="A70">
        <v>123</v>
      </c>
      <c r="B70">
        <v>605790.75682437804</v>
      </c>
      <c r="C70">
        <v>-48303.496824378031</v>
      </c>
    </row>
    <row r="71" spans="1:3">
      <c r="A71">
        <v>282</v>
      </c>
      <c r="B71">
        <v>603157.70411816949</v>
      </c>
      <c r="C71">
        <v>-47599.934118169476</v>
      </c>
    </row>
    <row r="72" spans="1:3">
      <c r="A72">
        <v>229</v>
      </c>
      <c r="B72">
        <v>618324.91388176894</v>
      </c>
      <c r="C72">
        <v>-47361.603881768882</v>
      </c>
    </row>
    <row r="73" spans="1:3">
      <c r="A73">
        <v>161</v>
      </c>
      <c r="B73">
        <v>697803.2601770655</v>
      </c>
      <c r="C73">
        <v>-47323.200177065446</v>
      </c>
    </row>
    <row r="74" spans="1:3">
      <c r="A74">
        <v>201</v>
      </c>
      <c r="B74">
        <v>645768.80769233347</v>
      </c>
      <c r="C74">
        <v>-46863.907692333451</v>
      </c>
    </row>
    <row r="75" spans="1:3">
      <c r="A75">
        <v>5</v>
      </c>
      <c r="B75">
        <v>788200.61590183934</v>
      </c>
      <c r="C75">
        <v>-46859.175901839393</v>
      </c>
    </row>
    <row r="76" spans="1:3">
      <c r="A76">
        <v>74</v>
      </c>
      <c r="B76">
        <v>677627.88400434947</v>
      </c>
      <c r="C76">
        <v>-46797.944004349527</v>
      </c>
    </row>
    <row r="77" spans="1:3">
      <c r="A77">
        <v>308</v>
      </c>
      <c r="B77">
        <v>697910.79851078696</v>
      </c>
      <c r="C77">
        <v>-46746.61851078691</v>
      </c>
    </row>
    <row r="78" spans="1:3">
      <c r="A78">
        <v>301</v>
      </c>
      <c r="B78">
        <v>749635.98713909101</v>
      </c>
      <c r="C78">
        <v>-45822.997139091021</v>
      </c>
    </row>
    <row r="79" spans="1:3">
      <c r="A79">
        <v>14</v>
      </c>
      <c r="B79">
        <v>772183.54335896159</v>
      </c>
      <c r="C79">
        <v>-45577.263358961558</v>
      </c>
    </row>
    <row r="80" spans="1:3">
      <c r="A80">
        <v>2</v>
      </c>
      <c r="B80">
        <v>679078.07468824775</v>
      </c>
      <c r="C80">
        <v>-44642.074688247754</v>
      </c>
    </row>
    <row r="81" spans="1:3">
      <c r="A81">
        <v>204</v>
      </c>
      <c r="B81">
        <v>694670.23249180673</v>
      </c>
      <c r="C81">
        <v>-43874.742491806741</v>
      </c>
    </row>
    <row r="82" spans="1:3">
      <c r="A82">
        <v>25</v>
      </c>
      <c r="B82">
        <v>855398.69525182853</v>
      </c>
      <c r="C82">
        <v>-43627.555251828511</v>
      </c>
    </row>
    <row r="83" spans="1:3">
      <c r="A83">
        <v>116</v>
      </c>
      <c r="B83">
        <v>761622.79255638621</v>
      </c>
      <c r="C83">
        <v>-43548.002556386171</v>
      </c>
    </row>
    <row r="84" spans="1:3">
      <c r="A84">
        <v>65</v>
      </c>
      <c r="B84">
        <v>826970.20370483701</v>
      </c>
      <c r="C84">
        <v>-42467.52370483696</v>
      </c>
    </row>
    <row r="85" spans="1:3">
      <c r="A85">
        <v>81</v>
      </c>
      <c r="B85">
        <v>662989.54833335872</v>
      </c>
      <c r="C85">
        <v>-41619.96833335876</v>
      </c>
    </row>
    <row r="86" spans="1:3">
      <c r="A86">
        <v>193</v>
      </c>
      <c r="B86">
        <v>684469.4255453056</v>
      </c>
      <c r="C86">
        <v>-41040.575545305619</v>
      </c>
    </row>
    <row r="87" spans="1:3">
      <c r="A87">
        <v>164</v>
      </c>
      <c r="B87">
        <v>732097.98087478697</v>
      </c>
      <c r="C87">
        <v>-40089.340874786954</v>
      </c>
    </row>
    <row r="88" spans="1:3">
      <c r="A88">
        <v>126</v>
      </c>
      <c r="B88">
        <v>881517.54454896576</v>
      </c>
      <c r="C88">
        <v>-39077.874548965716</v>
      </c>
    </row>
    <row r="89" spans="1:3">
      <c r="A89">
        <v>247</v>
      </c>
      <c r="B89">
        <v>717076.1880687963</v>
      </c>
      <c r="C89">
        <v>-37845.328068796312</v>
      </c>
    </row>
    <row r="90" spans="1:3">
      <c r="A90">
        <v>53</v>
      </c>
      <c r="B90">
        <v>500126.55486881291</v>
      </c>
      <c r="C90">
        <v>-36592.304868812906</v>
      </c>
    </row>
    <row r="91" spans="1:3">
      <c r="A91">
        <v>99</v>
      </c>
      <c r="B91">
        <v>641879.05366984638</v>
      </c>
      <c r="C91">
        <v>-36103.723669846426</v>
      </c>
    </row>
    <row r="92" spans="1:3">
      <c r="A92">
        <v>285</v>
      </c>
      <c r="B92">
        <v>672045.57352233946</v>
      </c>
      <c r="C92">
        <v>-35269.913522339426</v>
      </c>
    </row>
    <row r="93" spans="1:3">
      <c r="A93">
        <v>102</v>
      </c>
      <c r="B93">
        <v>620889.38732415682</v>
      </c>
      <c r="C93">
        <v>-34262.447324156878</v>
      </c>
    </row>
    <row r="94" spans="1:3">
      <c r="A94">
        <v>211</v>
      </c>
      <c r="B94">
        <v>980974.07336744934</v>
      </c>
      <c r="C94">
        <v>-34140.533367449301</v>
      </c>
    </row>
    <row r="95" spans="1:3">
      <c r="A95">
        <v>199</v>
      </c>
      <c r="B95">
        <v>612990.69421626616</v>
      </c>
      <c r="C95">
        <v>-34040.854216266191</v>
      </c>
    </row>
    <row r="96" spans="1:3">
      <c r="A96">
        <v>293</v>
      </c>
      <c r="B96">
        <v>579981.41484137089</v>
      </c>
      <c r="C96">
        <v>-33757.714841370936</v>
      </c>
    </row>
    <row r="97" spans="1:3">
      <c r="A97">
        <v>205</v>
      </c>
      <c r="B97">
        <v>858292.01220118476</v>
      </c>
      <c r="C97">
        <v>-33231.492201184737</v>
      </c>
    </row>
    <row r="98" spans="1:3">
      <c r="A98">
        <v>300</v>
      </c>
      <c r="B98">
        <v>434510.40458330093</v>
      </c>
      <c r="C98">
        <v>-32927.824583300913</v>
      </c>
    </row>
    <row r="99" spans="1:3">
      <c r="A99">
        <v>155</v>
      </c>
      <c r="B99">
        <v>718502.95559920836</v>
      </c>
      <c r="C99">
        <v>-32672.715599208372</v>
      </c>
    </row>
    <row r="100" spans="1:3">
      <c r="A100">
        <v>196</v>
      </c>
      <c r="B100">
        <v>482085.28112348542</v>
      </c>
      <c r="C100">
        <v>-32620.221123485419</v>
      </c>
    </row>
    <row r="101" spans="1:3">
      <c r="A101">
        <v>46</v>
      </c>
      <c r="B101">
        <v>631987.04320482723</v>
      </c>
      <c r="C101">
        <v>-32383.643204827211</v>
      </c>
    </row>
    <row r="102" spans="1:3">
      <c r="A102">
        <v>57</v>
      </c>
      <c r="B102">
        <v>550248.77204556274</v>
      </c>
      <c r="C102">
        <v>-32199.512045562733</v>
      </c>
    </row>
    <row r="103" spans="1:3">
      <c r="A103">
        <v>124</v>
      </c>
      <c r="B103">
        <v>473373.80086966592</v>
      </c>
      <c r="C103">
        <v>-32098.38086966594</v>
      </c>
    </row>
    <row r="104" spans="1:3">
      <c r="A104">
        <v>19</v>
      </c>
      <c r="B104">
        <v>698360.73357275012</v>
      </c>
      <c r="C104">
        <v>-31787.533572750166</v>
      </c>
    </row>
    <row r="105" spans="1:3">
      <c r="A105">
        <v>86</v>
      </c>
      <c r="B105">
        <v>643443.07370959036</v>
      </c>
      <c r="C105">
        <v>-31676.353709590388</v>
      </c>
    </row>
    <row r="106" spans="1:3">
      <c r="A106">
        <v>11</v>
      </c>
      <c r="B106">
        <v>754001.88040557073</v>
      </c>
      <c r="C106">
        <v>-30941.12040557072</v>
      </c>
    </row>
    <row r="107" spans="1:3">
      <c r="A107">
        <v>303</v>
      </c>
      <c r="B107">
        <v>761515.88380127645</v>
      </c>
      <c r="C107">
        <v>-30625.873801276437</v>
      </c>
    </row>
    <row r="108" spans="1:3">
      <c r="A108">
        <v>10</v>
      </c>
      <c r="B108">
        <v>808141.2309266167</v>
      </c>
      <c r="C108">
        <v>-29130.290926616755</v>
      </c>
    </row>
    <row r="109" spans="1:3">
      <c r="A109">
        <v>290</v>
      </c>
      <c r="B109">
        <v>724969.34179898677</v>
      </c>
      <c r="C109">
        <v>-28707.851798986783</v>
      </c>
    </row>
    <row r="110" spans="1:3">
      <c r="A110">
        <v>58</v>
      </c>
      <c r="B110">
        <v>528882.86396188871</v>
      </c>
      <c r="C110">
        <v>-28584.383961888729</v>
      </c>
    </row>
    <row r="111" spans="1:3">
      <c r="A111">
        <v>157</v>
      </c>
      <c r="B111">
        <v>728542.49255431874</v>
      </c>
      <c r="C111">
        <v>-28464.172554318793</v>
      </c>
    </row>
    <row r="112" spans="1:3">
      <c r="A112">
        <v>231</v>
      </c>
      <c r="B112">
        <v>625263.64632720244</v>
      </c>
      <c r="C112">
        <v>-28294.376327202423</v>
      </c>
    </row>
    <row r="113" spans="1:3">
      <c r="A113">
        <v>275</v>
      </c>
      <c r="B113">
        <v>663976.34089536197</v>
      </c>
      <c r="C113">
        <v>-28138.600895361975</v>
      </c>
    </row>
    <row r="114" spans="1:3">
      <c r="A114">
        <v>119</v>
      </c>
      <c r="B114">
        <v>711152.45538234198</v>
      </c>
      <c r="C114">
        <v>-26935.135382342036</v>
      </c>
    </row>
    <row r="115" spans="1:3">
      <c r="A115">
        <v>88</v>
      </c>
      <c r="B115">
        <v>477458.10374838556</v>
      </c>
      <c r="C115">
        <v>-26746.183748385578</v>
      </c>
    </row>
    <row r="116" spans="1:3">
      <c r="A116">
        <v>288</v>
      </c>
      <c r="B116">
        <v>574479.23493572162</v>
      </c>
      <c r="C116">
        <v>-26375.534935721662</v>
      </c>
    </row>
    <row r="117" spans="1:3">
      <c r="A117">
        <v>27</v>
      </c>
      <c r="B117">
        <v>809452.16005246504</v>
      </c>
      <c r="C117">
        <v>-25779.340052465093</v>
      </c>
    </row>
    <row r="118" spans="1:3">
      <c r="A118">
        <v>60</v>
      </c>
      <c r="B118">
        <v>578728.4417623044</v>
      </c>
      <c r="C118">
        <v>-24972.011762304348</v>
      </c>
    </row>
    <row r="119" spans="1:3">
      <c r="A119">
        <v>38</v>
      </c>
      <c r="B119">
        <v>742588.25339696405</v>
      </c>
      <c r="C119">
        <v>-24257.723396964022</v>
      </c>
    </row>
    <row r="120" spans="1:3">
      <c r="A120">
        <v>183</v>
      </c>
      <c r="B120">
        <v>785281.30922948534</v>
      </c>
      <c r="C120">
        <v>-24204.229229485383</v>
      </c>
    </row>
    <row r="121" spans="1:3">
      <c r="A121">
        <v>76</v>
      </c>
      <c r="B121">
        <v>704862.12756938057</v>
      </c>
      <c r="C121">
        <v>-24021.76756938058</v>
      </c>
    </row>
    <row r="122" spans="1:3">
      <c r="A122">
        <v>136</v>
      </c>
      <c r="B122">
        <v>552680.72148415016</v>
      </c>
      <c r="C122">
        <v>-23604.771484150202</v>
      </c>
    </row>
    <row r="123" spans="1:3">
      <c r="A123">
        <v>80</v>
      </c>
      <c r="B123">
        <v>660108.81326287193</v>
      </c>
      <c r="C123">
        <v>-23547.473262871965</v>
      </c>
    </row>
    <row r="124" spans="1:3">
      <c r="A124">
        <v>111</v>
      </c>
      <c r="B124">
        <v>657035.01073414169</v>
      </c>
      <c r="C124">
        <v>-23540.800734141725</v>
      </c>
    </row>
    <row r="125" spans="1:3">
      <c r="A125">
        <v>40</v>
      </c>
      <c r="B125">
        <v>851625.73624100967</v>
      </c>
      <c r="C125">
        <v>-23001.886241009692</v>
      </c>
    </row>
    <row r="126" spans="1:3">
      <c r="A126">
        <v>20</v>
      </c>
      <c r="B126">
        <v>614175.90393491159</v>
      </c>
      <c r="C126">
        <v>-22555.953934911638</v>
      </c>
    </row>
    <row r="127" spans="1:3">
      <c r="A127">
        <v>135</v>
      </c>
      <c r="B127">
        <v>614172.71363319794</v>
      </c>
      <c r="C127">
        <v>-20925.463633197942</v>
      </c>
    </row>
    <row r="128" spans="1:3">
      <c r="A128">
        <v>244</v>
      </c>
      <c r="B128">
        <v>783992.19646364544</v>
      </c>
      <c r="C128">
        <v>-20832.276463645394</v>
      </c>
    </row>
    <row r="129" spans="1:3">
      <c r="A129">
        <v>153</v>
      </c>
      <c r="B129">
        <v>805086.59565316327</v>
      </c>
      <c r="C129">
        <v>-20058.345653163269</v>
      </c>
    </row>
    <row r="130" spans="1:3">
      <c r="A130">
        <v>224</v>
      </c>
      <c r="B130">
        <v>743394.00552144332</v>
      </c>
      <c r="C130">
        <v>-19862.6055214433</v>
      </c>
    </row>
    <row r="131" spans="1:3">
      <c r="A131">
        <v>185</v>
      </c>
      <c r="B131">
        <v>701714.8911484644</v>
      </c>
      <c r="C131">
        <v>-19859.331148464349</v>
      </c>
    </row>
    <row r="132" spans="1:3">
      <c r="A132">
        <v>70</v>
      </c>
      <c r="B132">
        <v>498329.90884614224</v>
      </c>
      <c r="C132">
        <v>-19279.408846142236</v>
      </c>
    </row>
    <row r="133" spans="1:3">
      <c r="A133">
        <v>93</v>
      </c>
      <c r="B133">
        <v>604909.18015939405</v>
      </c>
      <c r="C133">
        <v>-18971.700159394066</v>
      </c>
    </row>
    <row r="134" spans="1:3">
      <c r="A134">
        <v>299</v>
      </c>
      <c r="B134">
        <v>617477.27574299043</v>
      </c>
      <c r="C134">
        <v>-18459.945742990472</v>
      </c>
    </row>
    <row r="135" spans="1:3">
      <c r="A135">
        <v>1</v>
      </c>
      <c r="B135">
        <v>677094.68159874622</v>
      </c>
      <c r="C135">
        <v>-18262.061598746222</v>
      </c>
    </row>
    <row r="136" spans="1:3">
      <c r="A136">
        <v>128</v>
      </c>
      <c r="B136">
        <v>714781.74244062172</v>
      </c>
      <c r="C136">
        <v>-17626.442440621671</v>
      </c>
    </row>
    <row r="137" spans="1:3">
      <c r="A137">
        <v>287</v>
      </c>
      <c r="B137">
        <v>627462.47992343374</v>
      </c>
      <c r="C137">
        <v>-17513.479923433741</v>
      </c>
    </row>
    <row r="138" spans="1:3">
      <c r="A138">
        <v>3</v>
      </c>
      <c r="B138">
        <v>696169.95684242086</v>
      </c>
      <c r="C138">
        <v>-17447.8968424208</v>
      </c>
    </row>
    <row r="139" spans="1:3">
      <c r="A139">
        <v>166</v>
      </c>
      <c r="B139">
        <v>723264.4616586609</v>
      </c>
      <c r="C139">
        <v>-16978.941658660886</v>
      </c>
    </row>
    <row r="140" spans="1:3">
      <c r="A140">
        <v>215</v>
      </c>
      <c r="B140">
        <v>769044.69277202268</v>
      </c>
      <c r="C140">
        <v>-16722.972772022709</v>
      </c>
    </row>
    <row r="141" spans="1:3">
      <c r="A141">
        <v>314</v>
      </c>
      <c r="B141">
        <v>704742.32742269873</v>
      </c>
      <c r="C141">
        <v>-16373.867422698764</v>
      </c>
    </row>
    <row r="142" spans="1:3">
      <c r="A142">
        <v>280</v>
      </c>
      <c r="B142">
        <v>777434.11697486462</v>
      </c>
      <c r="C142">
        <v>-16311.696974864579</v>
      </c>
    </row>
    <row r="143" spans="1:3">
      <c r="A143">
        <v>277</v>
      </c>
      <c r="B143">
        <v>688815.67676428298</v>
      </c>
      <c r="C143">
        <v>-15739.336764283013</v>
      </c>
    </row>
    <row r="144" spans="1:3">
      <c r="A144">
        <v>31</v>
      </c>
      <c r="B144">
        <v>515908.90135790932</v>
      </c>
      <c r="C144">
        <v>-15735.881357909297</v>
      </c>
    </row>
    <row r="145" spans="1:3">
      <c r="A145">
        <v>145</v>
      </c>
      <c r="B145">
        <v>593349.07858919504</v>
      </c>
      <c r="C145">
        <v>-15616.508589195088</v>
      </c>
    </row>
    <row r="146" spans="1:3">
      <c r="A146">
        <v>243</v>
      </c>
      <c r="B146">
        <v>843472.61751838378</v>
      </c>
      <c r="C146">
        <v>-15252.947518383735</v>
      </c>
    </row>
    <row r="147" spans="1:3">
      <c r="A147">
        <v>117</v>
      </c>
      <c r="B147">
        <v>729426.33434609778</v>
      </c>
      <c r="C147">
        <v>-14483.904346097726</v>
      </c>
    </row>
    <row r="148" spans="1:3">
      <c r="A148">
        <v>32</v>
      </c>
      <c r="B148">
        <v>441807.18732900772</v>
      </c>
      <c r="C148">
        <v>-13889.807329007715</v>
      </c>
    </row>
    <row r="149" spans="1:3">
      <c r="A149">
        <v>309</v>
      </c>
      <c r="B149">
        <v>642007.15370842919</v>
      </c>
      <c r="C149">
        <v>-13468.853708429146</v>
      </c>
    </row>
    <row r="150" spans="1:3">
      <c r="A150">
        <v>106</v>
      </c>
      <c r="B150">
        <v>796658.61666287202</v>
      </c>
      <c r="C150">
        <v>-12860.72666287201</v>
      </c>
    </row>
    <row r="151" spans="1:3">
      <c r="A151">
        <v>39</v>
      </c>
      <c r="B151">
        <v>749132.64300429763</v>
      </c>
      <c r="C151">
        <v>-12499.243004297605</v>
      </c>
    </row>
    <row r="152" spans="1:3">
      <c r="A152">
        <v>294</v>
      </c>
      <c r="B152">
        <v>545439.56741051108</v>
      </c>
      <c r="C152">
        <v>-12318.307410511072</v>
      </c>
    </row>
    <row r="153" spans="1:3">
      <c r="A153">
        <v>271</v>
      </c>
      <c r="B153">
        <v>812050.04943540099</v>
      </c>
      <c r="C153">
        <v>-12293.589435401023</v>
      </c>
    </row>
    <row r="154" spans="1:3">
      <c r="A154">
        <v>167</v>
      </c>
      <c r="B154">
        <v>677733.49734917737</v>
      </c>
      <c r="C154">
        <v>-12198.797349177417</v>
      </c>
    </row>
    <row r="155" spans="1:3">
      <c r="A155">
        <v>6</v>
      </c>
      <c r="B155">
        <v>773961.10164916201</v>
      </c>
      <c r="C155">
        <v>-12125.761649162043</v>
      </c>
    </row>
    <row r="156" spans="1:3">
      <c r="A156">
        <v>302</v>
      </c>
      <c r="B156">
        <v>736320.07312646799</v>
      </c>
      <c r="C156">
        <v>-11973.343126468011</v>
      </c>
    </row>
    <row r="157" spans="1:3">
      <c r="A157">
        <v>22</v>
      </c>
      <c r="B157">
        <v>503781.97508272622</v>
      </c>
      <c r="C157">
        <v>-11876.845082726213</v>
      </c>
    </row>
    <row r="158" spans="1:3">
      <c r="A158">
        <v>17</v>
      </c>
      <c r="B158">
        <v>677740.88775836583</v>
      </c>
      <c r="C158">
        <v>-11588.367758365814</v>
      </c>
    </row>
    <row r="159" spans="1:3">
      <c r="A159">
        <v>262</v>
      </c>
      <c r="B159">
        <v>617199.93361311348</v>
      </c>
      <c r="C159">
        <v>-11448.603613113519</v>
      </c>
    </row>
    <row r="160" spans="1:3">
      <c r="A160">
        <v>250</v>
      </c>
      <c r="B160">
        <v>654187.3316681541</v>
      </c>
      <c r="C160">
        <v>-11435.911668154062</v>
      </c>
    </row>
    <row r="161" spans="1:3">
      <c r="A161">
        <v>239</v>
      </c>
      <c r="B161">
        <v>772659.68683783361</v>
      </c>
      <c r="C161">
        <v>-10740.436837833608</v>
      </c>
    </row>
    <row r="162" spans="1:3">
      <c r="A162">
        <v>96</v>
      </c>
      <c r="B162">
        <v>618140.9589982375</v>
      </c>
      <c r="C162">
        <v>-10242.838998237508</v>
      </c>
    </row>
    <row r="163" spans="1:3">
      <c r="A163">
        <v>259</v>
      </c>
      <c r="B163">
        <v>756093.34212789685</v>
      </c>
      <c r="C163">
        <v>-9977.7521278968779</v>
      </c>
    </row>
    <row r="164" spans="1:3">
      <c r="A164">
        <v>156</v>
      </c>
      <c r="B164">
        <v>712183.47621228022</v>
      </c>
      <c r="C164">
        <v>-9864.5362122802762</v>
      </c>
    </row>
    <row r="165" spans="1:3">
      <c r="A165">
        <v>163</v>
      </c>
      <c r="B165">
        <v>686770.34465526149</v>
      </c>
      <c r="C165">
        <v>-9673.6346552615287</v>
      </c>
    </row>
    <row r="166" spans="1:3">
      <c r="A166">
        <v>130</v>
      </c>
      <c r="B166">
        <v>811409.92775310506</v>
      </c>
      <c r="C166">
        <v>-9579.5777531050844</v>
      </c>
    </row>
    <row r="167" spans="1:3">
      <c r="A167">
        <v>177</v>
      </c>
      <c r="B167">
        <v>896939.19366065215</v>
      </c>
      <c r="C167">
        <v>-9401.4436606521485</v>
      </c>
    </row>
    <row r="168" spans="1:3">
      <c r="A168">
        <v>174</v>
      </c>
      <c r="B168">
        <v>730330.60777385731</v>
      </c>
      <c r="C168">
        <v>-8966.4977738573216</v>
      </c>
    </row>
    <row r="169" spans="1:3">
      <c r="A169">
        <v>129</v>
      </c>
      <c r="B169">
        <v>857937.84631714865</v>
      </c>
      <c r="C169">
        <v>-8919.5463171486044</v>
      </c>
    </row>
    <row r="170" spans="1:3">
      <c r="A170">
        <v>265</v>
      </c>
      <c r="B170">
        <v>717590.43077223306</v>
      </c>
      <c r="C170">
        <v>-8605.2407722331118</v>
      </c>
    </row>
    <row r="171" spans="1:3">
      <c r="A171">
        <v>179</v>
      </c>
      <c r="B171">
        <v>790557.35519087187</v>
      </c>
      <c r="C171">
        <v>-8601.8351908718469</v>
      </c>
    </row>
    <row r="172" spans="1:3">
      <c r="A172">
        <v>191</v>
      </c>
      <c r="B172">
        <v>451688.70280969061</v>
      </c>
      <c r="C172">
        <v>-8413.1128096905886</v>
      </c>
    </row>
    <row r="173" spans="1:3">
      <c r="A173">
        <v>295</v>
      </c>
      <c r="B173">
        <v>507092.584171733</v>
      </c>
      <c r="C173">
        <v>-8122.2641717329971</v>
      </c>
    </row>
    <row r="174" spans="1:3">
      <c r="A174">
        <v>296</v>
      </c>
      <c r="B174">
        <v>494946.32056965429</v>
      </c>
      <c r="C174">
        <v>-7208.0605696542771</v>
      </c>
    </row>
    <row r="175" spans="1:3">
      <c r="A175">
        <v>286</v>
      </c>
      <c r="B175">
        <v>640157.85713776271</v>
      </c>
      <c r="C175">
        <v>-7148.3271377626806</v>
      </c>
    </row>
    <row r="176" spans="1:3">
      <c r="A176">
        <v>15</v>
      </c>
      <c r="B176">
        <v>753342.13665191003</v>
      </c>
      <c r="C176">
        <v>-6841.0466519100592</v>
      </c>
    </row>
    <row r="177" spans="1:3">
      <c r="A177">
        <v>77</v>
      </c>
      <c r="B177">
        <v>649748.48213381728</v>
      </c>
      <c r="C177">
        <v>-6091.0121338173049</v>
      </c>
    </row>
    <row r="178" spans="1:3">
      <c r="A178">
        <v>235</v>
      </c>
      <c r="B178">
        <v>646490.21323893685</v>
      </c>
      <c r="C178">
        <v>-5823.683238936821</v>
      </c>
    </row>
    <row r="179" spans="1:3">
      <c r="A179">
        <v>158</v>
      </c>
      <c r="B179">
        <v>607119.43808881834</v>
      </c>
      <c r="C179">
        <v>-5117.1180888183881</v>
      </c>
    </row>
    <row r="180" spans="1:3">
      <c r="A180">
        <v>198</v>
      </c>
      <c r="B180">
        <v>578677.80574738188</v>
      </c>
      <c r="C180">
        <v>-4611.1957473818911</v>
      </c>
    </row>
    <row r="181" spans="1:3">
      <c r="A181">
        <v>195</v>
      </c>
      <c r="B181">
        <v>563430.86953299365</v>
      </c>
      <c r="C181">
        <v>-4008.8495329936268</v>
      </c>
    </row>
    <row r="182" spans="1:3">
      <c r="A182">
        <v>36</v>
      </c>
      <c r="B182">
        <v>804840.95609472308</v>
      </c>
      <c r="C182">
        <v>-3861.1760947230505</v>
      </c>
    </row>
    <row r="183" spans="1:3">
      <c r="A183">
        <v>18</v>
      </c>
      <c r="B183">
        <v>576940.7725569281</v>
      </c>
      <c r="C183">
        <v>-3785.5825569281587</v>
      </c>
    </row>
    <row r="184" spans="1:3">
      <c r="A184">
        <v>172</v>
      </c>
      <c r="B184">
        <v>683064.33967621147</v>
      </c>
      <c r="C184">
        <v>-3332.7696762115229</v>
      </c>
    </row>
    <row r="185" spans="1:3">
      <c r="A185">
        <v>181</v>
      </c>
      <c r="B185">
        <v>858440.02532409935</v>
      </c>
      <c r="C185">
        <v>-3098.74532409932</v>
      </c>
    </row>
    <row r="186" spans="1:3">
      <c r="A186">
        <v>218</v>
      </c>
      <c r="B186">
        <v>625954.04264520656</v>
      </c>
      <c r="C186">
        <v>-3061.6226452065166</v>
      </c>
    </row>
    <row r="187" spans="1:3">
      <c r="A187">
        <v>248</v>
      </c>
      <c r="B187">
        <v>682909.14974446897</v>
      </c>
      <c r="C187">
        <v>-3020.4097444689833</v>
      </c>
    </row>
    <row r="188" spans="1:3">
      <c r="A188">
        <v>312</v>
      </c>
      <c r="B188">
        <v>774007.05954002077</v>
      </c>
      <c r="C188">
        <v>-2877.9895400208188</v>
      </c>
    </row>
    <row r="189" spans="1:3">
      <c r="A189">
        <v>258</v>
      </c>
      <c r="B189">
        <v>700605.74097030982</v>
      </c>
      <c r="C189">
        <v>-2717.6509703098563</v>
      </c>
    </row>
    <row r="190" spans="1:3">
      <c r="A190">
        <v>220</v>
      </c>
      <c r="B190">
        <v>608953.9228789804</v>
      </c>
      <c r="C190">
        <v>-2675.6228789803572</v>
      </c>
    </row>
    <row r="191" spans="1:3">
      <c r="A191">
        <v>84</v>
      </c>
      <c r="B191">
        <v>571693.52462372393</v>
      </c>
      <c r="C191">
        <v>-2592.7446237239055</v>
      </c>
    </row>
    <row r="192" spans="1:3">
      <c r="A192">
        <v>284</v>
      </c>
      <c r="B192">
        <v>499875.11187496898</v>
      </c>
      <c r="C192">
        <v>-2435.2918749689707</v>
      </c>
    </row>
    <row r="193" spans="1:3">
      <c r="A193">
        <v>251</v>
      </c>
      <c r="B193">
        <v>650276.85114942258</v>
      </c>
      <c r="C193">
        <v>-2323.0711494225543</v>
      </c>
    </row>
    <row r="194" spans="1:3">
      <c r="A194">
        <v>24</v>
      </c>
      <c r="B194">
        <v>566778.16114193515</v>
      </c>
      <c r="C194">
        <v>-967.17114193516318</v>
      </c>
    </row>
    <row r="195" spans="1:3">
      <c r="A195">
        <v>236</v>
      </c>
      <c r="B195">
        <v>671537.7806102332</v>
      </c>
      <c r="C195">
        <v>-908.30061023321468</v>
      </c>
    </row>
    <row r="196" spans="1:3">
      <c r="A196">
        <v>7</v>
      </c>
      <c r="B196">
        <v>806771.21394012088</v>
      </c>
      <c r="C196">
        <v>-155.67394012084696</v>
      </c>
    </row>
    <row r="197" spans="1:3">
      <c r="A197">
        <v>68</v>
      </c>
      <c r="B197">
        <v>740650.61275964219</v>
      </c>
      <c r="C197">
        <v>-153.96275964216329</v>
      </c>
    </row>
    <row r="198" spans="1:3">
      <c r="A198">
        <v>169</v>
      </c>
      <c r="B198">
        <v>739928.24312836782</v>
      </c>
      <c r="C198">
        <v>-96.513128367834724</v>
      </c>
    </row>
    <row r="199" spans="1:3">
      <c r="A199">
        <v>209</v>
      </c>
      <c r="B199">
        <v>810254.19286691502</v>
      </c>
      <c r="C199">
        <v>192.33713308500592</v>
      </c>
    </row>
    <row r="200" spans="1:3">
      <c r="A200">
        <v>319</v>
      </c>
      <c r="B200">
        <v>726344.92950168799</v>
      </c>
      <c r="C200">
        <v>431.29049831198063</v>
      </c>
    </row>
    <row r="201" spans="1:3">
      <c r="A201">
        <v>216</v>
      </c>
      <c r="B201">
        <v>836330.75213805935</v>
      </c>
      <c r="C201">
        <v>577.48786194063723</v>
      </c>
    </row>
    <row r="202" spans="1:3">
      <c r="A202">
        <v>194</v>
      </c>
      <c r="B202">
        <v>611220.18397858646</v>
      </c>
      <c r="C202">
        <v>704.08602141356096</v>
      </c>
    </row>
    <row r="203" spans="1:3">
      <c r="A203">
        <v>63</v>
      </c>
      <c r="B203">
        <v>571060.33935657353</v>
      </c>
      <c r="C203">
        <v>950.86064342642203</v>
      </c>
    </row>
    <row r="204" spans="1:3">
      <c r="A204">
        <v>146</v>
      </c>
      <c r="B204">
        <v>536082.66012400819</v>
      </c>
      <c r="C204">
        <v>975.66987599176355</v>
      </c>
    </row>
    <row r="205" spans="1:3">
      <c r="A205">
        <v>66</v>
      </c>
      <c r="B205">
        <v>716016.14895653073</v>
      </c>
      <c r="C205">
        <v>1125.4010434693191</v>
      </c>
    </row>
    <row r="206" spans="1:3">
      <c r="A206">
        <v>222</v>
      </c>
      <c r="B206">
        <v>671283.65981624986</v>
      </c>
      <c r="C206">
        <v>1386.8801837501815</v>
      </c>
    </row>
    <row r="207" spans="1:3">
      <c r="A207">
        <v>35</v>
      </c>
      <c r="B207">
        <v>797516.53309728182</v>
      </c>
      <c r="C207">
        <v>1435.6369027182227</v>
      </c>
    </row>
    <row r="208" spans="1:3">
      <c r="A208">
        <v>273</v>
      </c>
      <c r="B208">
        <v>643275.8050583076</v>
      </c>
      <c r="C208">
        <v>1764.1649416923756</v>
      </c>
    </row>
    <row r="209" spans="1:3">
      <c r="A209">
        <v>44</v>
      </c>
      <c r="B209">
        <v>603205.1969521154</v>
      </c>
      <c r="C209">
        <v>1972.8030478846049</v>
      </c>
    </row>
    <row r="210" spans="1:3">
      <c r="A210">
        <v>320</v>
      </c>
      <c r="B210">
        <v>557669.31022343191</v>
      </c>
      <c r="C210">
        <v>1991.5297765680589</v>
      </c>
    </row>
    <row r="211" spans="1:3">
      <c r="A211">
        <v>253</v>
      </c>
      <c r="B211">
        <v>762493.61717075307</v>
      </c>
      <c r="C211">
        <v>2455.3828292469261</v>
      </c>
    </row>
    <row r="212" spans="1:3">
      <c r="A212">
        <v>42</v>
      </c>
      <c r="B212">
        <v>529951.51301310014</v>
      </c>
      <c r="C212">
        <v>2692.9469868998276</v>
      </c>
    </row>
    <row r="213" spans="1:3">
      <c r="A213">
        <v>92</v>
      </c>
      <c r="B213">
        <v>583320.8363313654</v>
      </c>
      <c r="C213">
        <v>2986.3836686345749</v>
      </c>
    </row>
    <row r="214" spans="1:3">
      <c r="A214">
        <v>91</v>
      </c>
      <c r="B214">
        <v>736719.63340189424</v>
      </c>
      <c r="C214">
        <v>3132.9465981057147</v>
      </c>
    </row>
    <row r="215" spans="1:3">
      <c r="A215">
        <v>240</v>
      </c>
      <c r="B215">
        <v>733825.28641037876</v>
      </c>
      <c r="C215">
        <v>3244.8935896212934</v>
      </c>
    </row>
    <row r="216" spans="1:3">
      <c r="A216">
        <v>184</v>
      </c>
      <c r="B216">
        <v>816299.39899438899</v>
      </c>
      <c r="C216">
        <v>3361.1910056109773</v>
      </c>
    </row>
    <row r="217" spans="1:3">
      <c r="A217">
        <v>149</v>
      </c>
      <c r="B217">
        <v>610639.19855176844</v>
      </c>
      <c r="C217">
        <v>3385.7114482315956</v>
      </c>
    </row>
    <row r="218" spans="1:3">
      <c r="A218">
        <v>23</v>
      </c>
      <c r="B218">
        <v>551949.20250080188</v>
      </c>
      <c r="C218">
        <v>3980.1974991981406</v>
      </c>
    </row>
    <row r="219" spans="1:3">
      <c r="A219">
        <v>283</v>
      </c>
      <c r="B219">
        <v>709283.97293846647</v>
      </c>
      <c r="C219">
        <v>4799.7070615335833</v>
      </c>
    </row>
    <row r="220" spans="1:3">
      <c r="A220">
        <v>261</v>
      </c>
      <c r="B220">
        <v>523808.7314915086</v>
      </c>
      <c r="C220">
        <v>5043.8885084913927</v>
      </c>
    </row>
    <row r="221" spans="1:3">
      <c r="A221">
        <v>190</v>
      </c>
      <c r="B221">
        <v>545510.62656401633</v>
      </c>
      <c r="C221">
        <v>5452.3034359837184</v>
      </c>
    </row>
    <row r="222" spans="1:3">
      <c r="A222">
        <v>132</v>
      </c>
      <c r="B222">
        <v>805494.5566933048</v>
      </c>
      <c r="C222">
        <v>5958.1633066951763</v>
      </c>
    </row>
    <row r="223" spans="1:3">
      <c r="A223">
        <v>150</v>
      </c>
      <c r="B223">
        <v>706544.32321968721</v>
      </c>
      <c r="C223">
        <v>6324.0267803127645</v>
      </c>
    </row>
    <row r="224" spans="1:3">
      <c r="A224">
        <v>120</v>
      </c>
      <c r="B224">
        <v>729033.72162386123</v>
      </c>
      <c r="C224">
        <v>6446.4683761387132</v>
      </c>
    </row>
    <row r="225" spans="1:3">
      <c r="A225">
        <v>246</v>
      </c>
      <c r="B225">
        <v>743962.7755341857</v>
      </c>
      <c r="C225">
        <v>6508.5644658142701</v>
      </c>
    </row>
    <row r="226" spans="1:3">
      <c r="A226">
        <v>154</v>
      </c>
      <c r="B226">
        <v>691925.58592049289</v>
      </c>
      <c r="C226">
        <v>6567.0840795071563</v>
      </c>
    </row>
    <row r="227" spans="1:3">
      <c r="A227">
        <v>297</v>
      </c>
      <c r="B227">
        <v>661493.85942328989</v>
      </c>
      <c r="C227">
        <v>6965.5105767101049</v>
      </c>
    </row>
    <row r="228" spans="1:3">
      <c r="A228">
        <v>142</v>
      </c>
      <c r="B228">
        <v>707717.581641278</v>
      </c>
      <c r="C228">
        <v>7379.988358721952</v>
      </c>
    </row>
    <row r="229" spans="1:3">
      <c r="A229">
        <v>311</v>
      </c>
      <c r="B229">
        <v>613092.4047468761</v>
      </c>
      <c r="C229">
        <v>8584.8952531239484</v>
      </c>
    </row>
    <row r="230" spans="1:3">
      <c r="A230">
        <v>100</v>
      </c>
      <c r="B230">
        <v>665996.46812806814</v>
      </c>
      <c r="C230">
        <v>9181.2118719319114</v>
      </c>
    </row>
    <row r="231" spans="1:3">
      <c r="A231">
        <v>152</v>
      </c>
      <c r="B231">
        <v>716421.26279072533</v>
      </c>
      <c r="C231">
        <v>9426.7272092746571</v>
      </c>
    </row>
    <row r="232" spans="1:3">
      <c r="A232">
        <v>223</v>
      </c>
      <c r="B232">
        <v>722781.57663186966</v>
      </c>
      <c r="C232">
        <v>9886.3433681303868</v>
      </c>
    </row>
    <row r="233" spans="1:3">
      <c r="A233">
        <v>151</v>
      </c>
      <c r="B233">
        <v>686560.13326619449</v>
      </c>
      <c r="C233">
        <v>10184.016733805533</v>
      </c>
    </row>
    <row r="234" spans="1:3">
      <c r="A234">
        <v>168</v>
      </c>
      <c r="B234">
        <v>810267.54171974107</v>
      </c>
      <c r="C234">
        <v>10461.748280258966</v>
      </c>
    </row>
    <row r="235" spans="1:3">
      <c r="A235">
        <v>176</v>
      </c>
      <c r="B235">
        <v>793392.93126017437</v>
      </c>
      <c r="C235">
        <v>10871.068739825627</v>
      </c>
    </row>
    <row r="236" spans="1:3">
      <c r="A236">
        <v>221</v>
      </c>
      <c r="B236">
        <v>701184.21574517863</v>
      </c>
      <c r="C236">
        <v>11035.594254821423</v>
      </c>
    </row>
    <row r="237" spans="1:3">
      <c r="A237">
        <v>41</v>
      </c>
      <c r="B237">
        <v>580479.81274881249</v>
      </c>
      <c r="C237">
        <v>11716.037251187488</v>
      </c>
    </row>
    <row r="238" spans="1:3">
      <c r="A238">
        <v>255</v>
      </c>
      <c r="B238">
        <v>707346.38584528526</v>
      </c>
      <c r="C238">
        <v>12733.154154714779</v>
      </c>
    </row>
    <row r="239" spans="1:3">
      <c r="A239">
        <v>147</v>
      </c>
      <c r="B239">
        <v>587470.89699325501</v>
      </c>
      <c r="C239">
        <v>14097.973006744985</v>
      </c>
    </row>
    <row r="240" spans="1:3">
      <c r="A240">
        <v>89</v>
      </c>
      <c r="B240">
        <v>696881.37015565601</v>
      </c>
      <c r="C240">
        <v>14332.089844343951</v>
      </c>
    </row>
    <row r="241" spans="1:3">
      <c r="A241">
        <v>103</v>
      </c>
      <c r="B241">
        <v>725760.57643196161</v>
      </c>
      <c r="C241">
        <v>14342.0635680384</v>
      </c>
    </row>
    <row r="242" spans="1:3">
      <c r="A242">
        <v>242</v>
      </c>
      <c r="B242">
        <v>661845.44575534773</v>
      </c>
      <c r="C242">
        <v>14491.964244652307</v>
      </c>
    </row>
    <row r="243" spans="1:3">
      <c r="A243">
        <v>274</v>
      </c>
      <c r="B243">
        <v>547096.17628224206</v>
      </c>
      <c r="C243">
        <v>14501.153717757901</v>
      </c>
    </row>
    <row r="244" spans="1:3">
      <c r="A244">
        <v>238</v>
      </c>
      <c r="B244">
        <v>795627.01077542501</v>
      </c>
      <c r="C244">
        <v>14728.009224575013</v>
      </c>
    </row>
    <row r="245" spans="1:3">
      <c r="A245">
        <v>97</v>
      </c>
      <c r="B245">
        <v>674754.18688736344</v>
      </c>
      <c r="C245">
        <v>16359.433112636558</v>
      </c>
    </row>
    <row r="246" spans="1:3">
      <c r="A246">
        <v>318</v>
      </c>
      <c r="B246">
        <v>520431.35866196163</v>
      </c>
      <c r="C246">
        <v>16414.061338038417</v>
      </c>
    </row>
    <row r="247" spans="1:3">
      <c r="A247">
        <v>279</v>
      </c>
      <c r="B247">
        <v>739493.81394676142</v>
      </c>
      <c r="C247">
        <v>17125.956053238595</v>
      </c>
    </row>
    <row r="248" spans="1:3">
      <c r="A248">
        <v>226</v>
      </c>
      <c r="B248">
        <v>519090.66987318115</v>
      </c>
      <c r="C248">
        <v>17454.820126818842</v>
      </c>
    </row>
    <row r="249" spans="1:3">
      <c r="A249">
        <v>148</v>
      </c>
      <c r="B249">
        <v>553159.61365204421</v>
      </c>
      <c r="C249">
        <v>17805.226347955759</v>
      </c>
    </row>
    <row r="250" spans="1:3">
      <c r="A250">
        <v>227</v>
      </c>
      <c r="B250">
        <v>509786.93240442278</v>
      </c>
      <c r="C250">
        <v>17894.627595577273</v>
      </c>
    </row>
    <row r="251" spans="1:3">
      <c r="A251">
        <v>85</v>
      </c>
      <c r="B251">
        <v>556324.49937159964</v>
      </c>
      <c r="C251">
        <v>18111.790628400398</v>
      </c>
    </row>
    <row r="252" spans="1:3">
      <c r="A252">
        <v>144</v>
      </c>
      <c r="B252">
        <v>676759.30408287793</v>
      </c>
      <c r="C252">
        <v>18339.205917122075</v>
      </c>
    </row>
    <row r="253" spans="1:3">
      <c r="A253">
        <v>252</v>
      </c>
      <c r="B253">
        <v>710891.45312592608</v>
      </c>
      <c r="C253">
        <v>18548.99687407387</v>
      </c>
    </row>
    <row r="254" spans="1:3">
      <c r="A254">
        <v>292</v>
      </c>
      <c r="B254">
        <v>683304.4131178892</v>
      </c>
      <c r="C254">
        <v>18764.506882110843</v>
      </c>
    </row>
    <row r="255" spans="1:3">
      <c r="A255">
        <v>122</v>
      </c>
      <c r="B255">
        <v>634849.79096387699</v>
      </c>
      <c r="C255">
        <v>19467.299036122975</v>
      </c>
    </row>
    <row r="256" spans="1:3">
      <c r="A256">
        <v>143</v>
      </c>
      <c r="B256">
        <v>663018.2445250341</v>
      </c>
      <c r="C256">
        <v>19621.035474965931</v>
      </c>
    </row>
    <row r="257" spans="1:3">
      <c r="A257">
        <v>225</v>
      </c>
      <c r="B257">
        <v>621915.36844337417</v>
      </c>
      <c r="C257">
        <v>19649.231556625804</v>
      </c>
    </row>
    <row r="258" spans="1:3">
      <c r="A258">
        <v>113</v>
      </c>
      <c r="B258">
        <v>758337.66050526151</v>
      </c>
      <c r="C258">
        <v>20060.309494738467</v>
      </c>
    </row>
    <row r="259" spans="1:3">
      <c r="A259">
        <v>249</v>
      </c>
      <c r="B259">
        <v>586377.139525034</v>
      </c>
      <c r="C259">
        <v>20406.530474966043</v>
      </c>
    </row>
    <row r="260" spans="1:3">
      <c r="A260">
        <v>105</v>
      </c>
      <c r="B260">
        <v>706648.07427806279</v>
      </c>
      <c r="C260">
        <v>20579.125721937162</v>
      </c>
    </row>
    <row r="261" spans="1:3">
      <c r="A261">
        <v>245</v>
      </c>
      <c r="B261">
        <v>781288.20200553245</v>
      </c>
      <c r="C261">
        <v>20713.477994467597</v>
      </c>
    </row>
    <row r="262" spans="1:3">
      <c r="A262">
        <v>213</v>
      </c>
      <c r="B262">
        <v>791117.28500657959</v>
      </c>
      <c r="C262">
        <v>21035.314993420383</v>
      </c>
    </row>
    <row r="263" spans="1:3">
      <c r="A263">
        <v>87</v>
      </c>
      <c r="B263">
        <v>592969.5360655355</v>
      </c>
      <c r="C263">
        <v>21626.783934464445</v>
      </c>
    </row>
    <row r="264" spans="1:3">
      <c r="A264">
        <v>267</v>
      </c>
      <c r="B264">
        <v>723777.76932847779</v>
      </c>
      <c r="C264">
        <v>21802.740671522217</v>
      </c>
    </row>
    <row r="265" spans="1:3">
      <c r="A265">
        <v>241</v>
      </c>
      <c r="B265">
        <v>754612.29642930708</v>
      </c>
      <c r="C265">
        <v>22380.633570692968</v>
      </c>
    </row>
    <row r="266" spans="1:3">
      <c r="A266">
        <v>114</v>
      </c>
      <c r="B266">
        <v>850847.16403054888</v>
      </c>
      <c r="C266">
        <v>22532.855969451135</v>
      </c>
    </row>
    <row r="267" spans="1:3">
      <c r="A267">
        <v>55</v>
      </c>
      <c r="B267">
        <v>698121.86080644745</v>
      </c>
      <c r="C267">
        <v>22730.639193552546</v>
      </c>
    </row>
    <row r="268" spans="1:3">
      <c r="A268">
        <v>109</v>
      </c>
      <c r="B268">
        <v>686737.33750558516</v>
      </c>
      <c r="C268">
        <v>22741.052494414849</v>
      </c>
    </row>
    <row r="269" spans="1:3">
      <c r="A269">
        <v>50</v>
      </c>
      <c r="B269">
        <v>580279.29138570942</v>
      </c>
      <c r="C269">
        <v>23018.278614290524</v>
      </c>
    </row>
    <row r="270" spans="1:3">
      <c r="A270">
        <v>51</v>
      </c>
      <c r="B270">
        <v>602434.99503030267</v>
      </c>
      <c r="C270">
        <v>23237.864969697315</v>
      </c>
    </row>
    <row r="271" spans="1:3">
      <c r="A271">
        <v>47</v>
      </c>
      <c r="B271">
        <v>589643.09401948983</v>
      </c>
      <c r="C271">
        <v>25156.995980510139</v>
      </c>
    </row>
    <row r="272" spans="1:3">
      <c r="A272">
        <v>16</v>
      </c>
      <c r="B272">
        <v>808780.82507404103</v>
      </c>
      <c r="C272">
        <v>25236.194925958989</v>
      </c>
    </row>
    <row r="273" spans="1:3">
      <c r="A273">
        <v>260</v>
      </c>
      <c r="B273">
        <v>750711.6812628184</v>
      </c>
      <c r="C273">
        <v>25398.638737181551</v>
      </c>
    </row>
    <row r="274" spans="1:3">
      <c r="A274">
        <v>30</v>
      </c>
      <c r="B274">
        <v>511720.87018818175</v>
      </c>
      <c r="C274">
        <v>25662.919811818283</v>
      </c>
    </row>
    <row r="275" spans="1:3">
      <c r="A275">
        <v>217</v>
      </c>
      <c r="B275">
        <v>648222.79511222779</v>
      </c>
      <c r="C275">
        <v>26066.304887772189</v>
      </c>
    </row>
    <row r="276" spans="1:3">
      <c r="A276">
        <v>315</v>
      </c>
      <c r="B276">
        <v>686177.91186183773</v>
      </c>
      <c r="C276">
        <v>26197.858138162293</v>
      </c>
    </row>
    <row r="277" spans="1:3">
      <c r="A277">
        <v>219</v>
      </c>
      <c r="B277">
        <v>646603.906183352</v>
      </c>
      <c r="C277">
        <v>26744.65381664806</v>
      </c>
    </row>
    <row r="278" spans="1:3">
      <c r="A278">
        <v>101</v>
      </c>
      <c r="B278">
        <v>608398.43455955421</v>
      </c>
      <c r="C278">
        <v>26782.915440445766</v>
      </c>
    </row>
    <row r="279" spans="1:3">
      <c r="A279">
        <v>313</v>
      </c>
      <c r="B279">
        <v>674549.92761463183</v>
      </c>
      <c r="C279">
        <v>27502.542385368142</v>
      </c>
    </row>
    <row r="280" spans="1:3">
      <c r="A280">
        <v>71</v>
      </c>
      <c r="B280">
        <v>577121.84392588865</v>
      </c>
      <c r="C280">
        <v>27902.026074111345</v>
      </c>
    </row>
    <row r="281" spans="1:3">
      <c r="A281">
        <v>212</v>
      </c>
      <c r="B281">
        <v>733525.1961720211</v>
      </c>
      <c r="C281">
        <v>28438.033827978885</v>
      </c>
    </row>
    <row r="282" spans="1:3">
      <c r="A282">
        <v>266</v>
      </c>
      <c r="B282">
        <v>738559.44462289033</v>
      </c>
      <c r="C282">
        <v>29233.495377109619</v>
      </c>
    </row>
    <row r="283" spans="1:3">
      <c r="A283">
        <v>52</v>
      </c>
      <c r="B283">
        <v>744402.16398160311</v>
      </c>
      <c r="C283">
        <v>29412.976018396905</v>
      </c>
    </row>
    <row r="284" spans="1:3">
      <c r="A284">
        <v>186</v>
      </c>
      <c r="B284">
        <v>648716.8203193153</v>
      </c>
      <c r="C284">
        <v>29594.34968068474</v>
      </c>
    </row>
    <row r="285" spans="1:3">
      <c r="A285">
        <v>175</v>
      </c>
      <c r="B285">
        <v>728163.76554000459</v>
      </c>
      <c r="C285">
        <v>29974.524459995446</v>
      </c>
    </row>
    <row r="286" spans="1:3">
      <c r="A286">
        <v>54</v>
      </c>
      <c r="B286">
        <v>716380.21406137338</v>
      </c>
      <c r="C286">
        <v>30297.535938626621</v>
      </c>
    </row>
    <row r="287" spans="1:3">
      <c r="A287">
        <v>141</v>
      </c>
      <c r="B287">
        <v>685083.86257877003</v>
      </c>
      <c r="C287">
        <v>30806.667421229999</v>
      </c>
    </row>
    <row r="288" spans="1:3">
      <c r="A288">
        <v>64</v>
      </c>
      <c r="B288">
        <v>730937.86086059839</v>
      </c>
      <c r="C288">
        <v>30922.329139401554</v>
      </c>
    </row>
    <row r="289" spans="1:3">
      <c r="A289">
        <v>233</v>
      </c>
      <c r="B289">
        <v>626096.69260058017</v>
      </c>
      <c r="C289">
        <v>31975.447399419849</v>
      </c>
    </row>
    <row r="290" spans="1:3">
      <c r="A290">
        <v>48</v>
      </c>
      <c r="B290">
        <v>553059.32951933146</v>
      </c>
      <c r="C290">
        <v>32306.400480668526</v>
      </c>
    </row>
    <row r="291" spans="1:3">
      <c r="A291">
        <v>110</v>
      </c>
      <c r="B291">
        <v>631580.20556570741</v>
      </c>
      <c r="C291">
        <v>32582.284434292582</v>
      </c>
    </row>
    <row r="292" spans="1:3">
      <c r="A292">
        <v>43</v>
      </c>
      <c r="B292">
        <v>623532.76453931059</v>
      </c>
      <c r="C292">
        <v>33896.415460689459</v>
      </c>
    </row>
    <row r="293" spans="1:3">
      <c r="A293">
        <v>188</v>
      </c>
      <c r="B293">
        <v>678050.50868536998</v>
      </c>
      <c r="C293">
        <v>34495.871314630029</v>
      </c>
    </row>
    <row r="294" spans="1:3">
      <c r="A294">
        <v>62</v>
      </c>
      <c r="B294">
        <v>581248.66309963248</v>
      </c>
      <c r="C294">
        <v>34717.816900367499</v>
      </c>
    </row>
    <row r="295" spans="1:3">
      <c r="A295">
        <v>228</v>
      </c>
      <c r="B295">
        <v>494757.03778211708</v>
      </c>
      <c r="C295">
        <v>34841.90221788286</v>
      </c>
    </row>
    <row r="296" spans="1:3">
      <c r="A296">
        <v>82</v>
      </c>
      <c r="B296">
        <v>646962.38395720418</v>
      </c>
      <c r="C296">
        <v>35245.626042795833</v>
      </c>
    </row>
    <row r="297" spans="1:3">
      <c r="A297">
        <v>108</v>
      </c>
      <c r="B297">
        <v>630106.88053431921</v>
      </c>
      <c r="C297">
        <v>35488.059465680737</v>
      </c>
    </row>
    <row r="298" spans="1:3">
      <c r="A298">
        <v>140</v>
      </c>
      <c r="B298">
        <v>610684.39403346018</v>
      </c>
      <c r="C298">
        <v>35875.315966539783</v>
      </c>
    </row>
    <row r="299" spans="1:3">
      <c r="A299">
        <v>278</v>
      </c>
      <c r="B299">
        <v>702655.29175901727</v>
      </c>
      <c r="C299">
        <v>35893.128240982769</v>
      </c>
    </row>
    <row r="300" spans="1:3">
      <c r="A300">
        <v>270</v>
      </c>
      <c r="B300">
        <v>702641.31112855615</v>
      </c>
      <c r="C300">
        <v>36733.24887144391</v>
      </c>
    </row>
    <row r="301" spans="1:3">
      <c r="A301">
        <v>127</v>
      </c>
      <c r="B301">
        <v>802864.5577560073</v>
      </c>
      <c r="C301">
        <v>39293.362243992742</v>
      </c>
    </row>
    <row r="302" spans="1:3">
      <c r="A302">
        <v>307</v>
      </c>
      <c r="B302">
        <v>625605.62291489576</v>
      </c>
      <c r="C302">
        <v>39736.867085104226</v>
      </c>
    </row>
    <row r="303" spans="1:3">
      <c r="A303">
        <v>232</v>
      </c>
      <c r="B303">
        <v>607697.98054923234</v>
      </c>
      <c r="C303">
        <v>39814.869450767641</v>
      </c>
    </row>
    <row r="304" spans="1:3">
      <c r="A304">
        <v>182</v>
      </c>
      <c r="B304">
        <v>711013.41025988816</v>
      </c>
      <c r="C304">
        <v>40380.469740111846</v>
      </c>
    </row>
    <row r="305" spans="1:3">
      <c r="A305">
        <v>214</v>
      </c>
      <c r="B305">
        <v>764383.60531064996</v>
      </c>
      <c r="C305">
        <v>40591.89468935004</v>
      </c>
    </row>
    <row r="306" spans="1:3">
      <c r="A306">
        <v>13</v>
      </c>
      <c r="B306">
        <v>881520.79428475688</v>
      </c>
      <c r="C306">
        <v>40647.805715243099</v>
      </c>
    </row>
    <row r="307" spans="1:3">
      <c r="A307">
        <v>28</v>
      </c>
      <c r="B307">
        <v>660679.55161706544</v>
      </c>
      <c r="C307">
        <v>40962.418382934527</v>
      </c>
    </row>
    <row r="308" spans="1:3">
      <c r="A308">
        <v>187</v>
      </c>
      <c r="B308">
        <v>724840.43354081456</v>
      </c>
      <c r="C308">
        <v>41066.516459185397</v>
      </c>
    </row>
    <row r="309" spans="1:3">
      <c r="A309">
        <v>268</v>
      </c>
      <c r="B309">
        <v>720515.55215502682</v>
      </c>
      <c r="C309">
        <v>41812.757844973239</v>
      </c>
    </row>
    <row r="310" spans="1:3">
      <c r="A310">
        <v>61</v>
      </c>
      <c r="B310">
        <v>707714.77520106698</v>
      </c>
      <c r="C310">
        <v>41844.934798932984</v>
      </c>
    </row>
    <row r="311" spans="1:3">
      <c r="A311">
        <v>73</v>
      </c>
      <c r="B311">
        <v>574198.58719519037</v>
      </c>
      <c r="C311">
        <v>41870.822804809664</v>
      </c>
    </row>
    <row r="312" spans="1:3">
      <c r="A312">
        <v>264</v>
      </c>
      <c r="B312">
        <v>594259.9485617535</v>
      </c>
      <c r="C312">
        <v>42353.281438246486</v>
      </c>
    </row>
    <row r="313" spans="1:3">
      <c r="A313">
        <v>94</v>
      </c>
      <c r="B313">
        <v>710712.11376989144</v>
      </c>
      <c r="C313">
        <v>42761.436230108608</v>
      </c>
    </row>
    <row r="314" spans="1:3">
      <c r="A314">
        <v>12</v>
      </c>
      <c r="B314">
        <v>867782.44794954453</v>
      </c>
      <c r="C314">
        <v>43009.492050455417</v>
      </c>
    </row>
    <row r="315" spans="1:3">
      <c r="A315">
        <v>289</v>
      </c>
      <c r="B315">
        <v>685724.99383964739</v>
      </c>
      <c r="C315">
        <v>43699.426160352654</v>
      </c>
    </row>
    <row r="316" spans="1:3">
      <c r="A316">
        <v>37</v>
      </c>
      <c r="B316">
        <v>776254.4678251202</v>
      </c>
      <c r="C316">
        <v>44339.462174879853</v>
      </c>
    </row>
    <row r="317" spans="1:3">
      <c r="A317">
        <v>257</v>
      </c>
      <c r="B317">
        <v>795755.85569240735</v>
      </c>
      <c r="C317">
        <v>44352.264307592646</v>
      </c>
    </row>
    <row r="318" spans="1:3">
      <c r="A318">
        <v>305</v>
      </c>
      <c r="B318">
        <v>683434.84852707491</v>
      </c>
      <c r="C318">
        <v>44522.631472925073</v>
      </c>
    </row>
    <row r="319" spans="1:3">
      <c r="A319">
        <v>165</v>
      </c>
      <c r="B319">
        <v>780981.46721315954</v>
      </c>
      <c r="C319">
        <v>44816.442786840489</v>
      </c>
    </row>
    <row r="320" spans="1:3">
      <c r="A320">
        <v>139</v>
      </c>
      <c r="B320">
        <v>712638.98676668305</v>
      </c>
      <c r="C320">
        <v>46188.65323331696</v>
      </c>
    </row>
    <row r="321" spans="1:3">
      <c r="A321">
        <v>206</v>
      </c>
      <c r="B321">
        <v>748848.96682050976</v>
      </c>
      <c r="C321">
        <v>46615.503179490217</v>
      </c>
    </row>
    <row r="322" spans="1:3">
      <c r="A322">
        <v>316</v>
      </c>
      <c r="B322">
        <v>797282.01527141395</v>
      </c>
      <c r="C322">
        <v>47428.654728586087</v>
      </c>
    </row>
    <row r="323" spans="1:3">
      <c r="A323">
        <v>83</v>
      </c>
      <c r="B323">
        <v>678975.32348781452</v>
      </c>
      <c r="C323">
        <v>48266.53651218547</v>
      </c>
    </row>
    <row r="324" spans="1:3">
      <c r="A324">
        <v>173</v>
      </c>
      <c r="B324">
        <v>731442.43807849905</v>
      </c>
      <c r="C324">
        <v>48901.741921501001</v>
      </c>
    </row>
    <row r="325" spans="1:3">
      <c r="A325">
        <v>78</v>
      </c>
      <c r="B325">
        <v>640684.56282501831</v>
      </c>
      <c r="C325">
        <v>50428.03717498167</v>
      </c>
    </row>
    <row r="326" spans="1:3">
      <c r="A326">
        <v>304</v>
      </c>
      <c r="B326">
        <v>729530.09818794613</v>
      </c>
      <c r="C326">
        <v>51050.851812053821</v>
      </c>
    </row>
    <row r="327" spans="1:3">
      <c r="A327">
        <v>178</v>
      </c>
      <c r="B327">
        <v>731554.46045455604</v>
      </c>
      <c r="C327">
        <v>52027.539545443957</v>
      </c>
    </row>
    <row r="328" spans="1:3">
      <c r="A328">
        <v>95</v>
      </c>
      <c r="B328">
        <v>785357.89173458808</v>
      </c>
      <c r="C328">
        <v>52892.428265411872</v>
      </c>
    </row>
    <row r="329" spans="1:3">
      <c r="A329">
        <v>125</v>
      </c>
      <c r="B329">
        <v>861155.74646975484</v>
      </c>
      <c r="C329">
        <v>53388.4235302452</v>
      </c>
    </row>
    <row r="330" spans="1:3">
      <c r="A330">
        <v>159</v>
      </c>
      <c r="B330">
        <v>670731.24472928431</v>
      </c>
      <c r="C330">
        <v>53484.825270715635</v>
      </c>
    </row>
    <row r="331" spans="1:3">
      <c r="A331">
        <v>189</v>
      </c>
      <c r="B331">
        <v>572107.63650424581</v>
      </c>
      <c r="C331">
        <v>53886.193495754153</v>
      </c>
    </row>
    <row r="332" spans="1:3">
      <c r="A332">
        <v>138</v>
      </c>
      <c r="B332">
        <v>689448.54553854035</v>
      </c>
      <c r="C332">
        <v>53900.29446145962</v>
      </c>
    </row>
    <row r="333" spans="1:3">
      <c r="A333">
        <v>72</v>
      </c>
      <c r="B333">
        <v>620731.02569283859</v>
      </c>
      <c r="C333">
        <v>54043.064307161374</v>
      </c>
    </row>
    <row r="334" spans="1:3">
      <c r="A334">
        <v>79</v>
      </c>
      <c r="B334">
        <v>722752.56832191034</v>
      </c>
      <c r="C334">
        <v>54169.601678089704</v>
      </c>
    </row>
    <row r="335" spans="1:3">
      <c r="A335">
        <v>180</v>
      </c>
      <c r="B335">
        <v>841823.53326247877</v>
      </c>
      <c r="C335">
        <v>56207.506737521267</v>
      </c>
    </row>
    <row r="336" spans="1:3">
      <c r="A336">
        <v>197</v>
      </c>
      <c r="B336">
        <v>635145.4880981379</v>
      </c>
      <c r="C336">
        <v>56301.941901862156</v>
      </c>
    </row>
    <row r="337" spans="1:3">
      <c r="A337">
        <v>9</v>
      </c>
      <c r="B337">
        <v>873194.56682735833</v>
      </c>
      <c r="C337">
        <v>57387.133172641625</v>
      </c>
    </row>
    <row r="338" spans="1:3">
      <c r="A338">
        <v>8</v>
      </c>
      <c r="B338">
        <v>792726.34303032281</v>
      </c>
      <c r="C338">
        <v>57437.916969677201</v>
      </c>
    </row>
    <row r="339" spans="1:3">
      <c r="A339">
        <v>263</v>
      </c>
      <c r="B339">
        <v>618646.0402826824</v>
      </c>
      <c r="C339">
        <v>58994.609717317624</v>
      </c>
    </row>
    <row r="340" spans="1:3">
      <c r="A340">
        <v>75</v>
      </c>
      <c r="B340">
        <v>728448.14086122089</v>
      </c>
      <c r="C340">
        <v>59639.539138779161</v>
      </c>
    </row>
    <row r="341" spans="1:3">
      <c r="A341">
        <v>160</v>
      </c>
      <c r="B341">
        <v>560542.16436687682</v>
      </c>
      <c r="C341">
        <v>60430.865633123205</v>
      </c>
    </row>
    <row r="342" spans="1:3">
      <c r="A342">
        <v>162</v>
      </c>
      <c r="B342">
        <v>717651.53285299463</v>
      </c>
      <c r="C342">
        <v>60647.347147005377</v>
      </c>
    </row>
    <row r="343" spans="1:3">
      <c r="A343">
        <v>171</v>
      </c>
      <c r="B343">
        <v>709040.57532268949</v>
      </c>
      <c r="C343">
        <v>60662.184677310521</v>
      </c>
    </row>
    <row r="344" spans="1:3">
      <c r="A344">
        <v>69</v>
      </c>
      <c r="B344">
        <v>597662.18267466628</v>
      </c>
      <c r="C344">
        <v>64264.957325333729</v>
      </c>
    </row>
    <row r="345" spans="1:3">
      <c r="A345">
        <v>234</v>
      </c>
      <c r="B345">
        <v>657274.39078350365</v>
      </c>
      <c r="C345">
        <v>66030.719216496334</v>
      </c>
    </row>
    <row r="346" spans="1:3">
      <c r="A346">
        <v>98</v>
      </c>
      <c r="B346">
        <v>664978.20989803318</v>
      </c>
      <c r="C346">
        <v>70531.190101966844</v>
      </c>
    </row>
    <row r="347" spans="1:3">
      <c r="A347">
        <v>107</v>
      </c>
      <c r="B347">
        <v>724515.91719992366</v>
      </c>
      <c r="C347">
        <v>70637.922800076311</v>
      </c>
    </row>
    <row r="348" spans="1:3">
      <c r="A348">
        <v>298</v>
      </c>
      <c r="B348">
        <v>691553.13373315404</v>
      </c>
      <c r="C348">
        <v>71609.316266845912</v>
      </c>
    </row>
    <row r="349" spans="1:3">
      <c r="A349">
        <v>200</v>
      </c>
      <c r="B349">
        <v>663063.71325049549</v>
      </c>
      <c r="C349">
        <v>72722.926749504521</v>
      </c>
    </row>
    <row r="350" spans="1:3">
      <c r="A350">
        <v>276</v>
      </c>
      <c r="B350">
        <v>612851.29789388494</v>
      </c>
      <c r="C350">
        <v>73886.572106115054</v>
      </c>
    </row>
    <row r="351" spans="1:3">
      <c r="A351">
        <v>254</v>
      </c>
      <c r="B351">
        <v>723603.52688189608</v>
      </c>
      <c r="C351">
        <v>75443.413118103868</v>
      </c>
    </row>
    <row r="352" spans="1:3">
      <c r="A352">
        <v>118</v>
      </c>
      <c r="B352">
        <v>738265.21984202275</v>
      </c>
      <c r="C352">
        <v>82253.820157977287</v>
      </c>
    </row>
    <row r="353" spans="1:3">
      <c r="A353">
        <v>104</v>
      </c>
      <c r="B353">
        <v>540234.62124622276</v>
      </c>
      <c r="C353">
        <v>85279.418753777281</v>
      </c>
    </row>
    <row r="354" spans="1:3">
      <c r="A354">
        <v>202</v>
      </c>
      <c r="B354">
        <v>701381.33655921335</v>
      </c>
      <c r="C354">
        <v>86334.173440786661</v>
      </c>
    </row>
    <row r="355" spans="1:3">
      <c r="A355">
        <v>291</v>
      </c>
      <c r="B355">
        <v>721415.91992690123</v>
      </c>
      <c r="C355">
        <v>91900.790073098731</v>
      </c>
    </row>
    <row r="356" spans="1:3">
      <c r="A356">
        <v>112</v>
      </c>
      <c r="B356">
        <v>610531.95149892464</v>
      </c>
      <c r="C356">
        <v>103079.20850107539</v>
      </c>
    </row>
    <row r="357" spans="1:3" ht="24.6" thickBot="1">
      <c r="A357" s="7">
        <v>230</v>
      </c>
      <c r="B357" s="7">
        <v>759919.93939543131</v>
      </c>
      <c r="C357" s="7">
        <v>111017.46060456871</v>
      </c>
    </row>
  </sheetData>
  <sortState xmlns:xlrd2="http://schemas.microsoft.com/office/spreadsheetml/2017/richdata2" ref="A38:C357">
    <sortCondition ref="C37:C35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B7B6-6F25-48FF-800E-8E09B82B524C}">
  <dimension ref="A1:W321"/>
  <sheetViews>
    <sheetView tabSelected="1" topLeftCell="D1" workbookViewId="0">
      <selection activeCell="X12" sqref="X12"/>
    </sheetView>
  </sheetViews>
  <sheetFormatPr defaultRowHeight="24"/>
  <cols>
    <col min="21" max="21" width="9.796875" customWidth="1"/>
    <col min="23" max="23" width="10.796875" customWidth="1"/>
  </cols>
  <sheetData>
    <row r="1" spans="1:23" ht="5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114</v>
      </c>
      <c r="P1" s="1" t="s">
        <v>115</v>
      </c>
      <c r="Q1" s="1" t="s">
        <v>116</v>
      </c>
      <c r="R1" s="1" t="s">
        <v>20</v>
      </c>
      <c r="S1" s="1" t="s">
        <v>117</v>
      </c>
      <c r="T1" s="1" t="s">
        <v>118</v>
      </c>
      <c r="U1" s="1" t="s">
        <v>147</v>
      </c>
      <c r="V1" s="1" t="s">
        <v>128</v>
      </c>
      <c r="W1" s="1" t="s">
        <v>148</v>
      </c>
    </row>
    <row r="2" spans="1:23">
      <c r="A2" t="s">
        <v>44</v>
      </c>
      <c r="B2" s="2">
        <v>45689</v>
      </c>
      <c r="C2" t="s">
        <v>24</v>
      </c>
      <c r="D2" t="s">
        <v>28</v>
      </c>
      <c r="E2">
        <v>141540.29</v>
      </c>
      <c r="F2">
        <v>5400</v>
      </c>
      <c r="G2">
        <v>1.2999999999999999E-2</v>
      </c>
      <c r="H2">
        <v>12</v>
      </c>
      <c r="I2">
        <v>87</v>
      </c>
      <c r="J2">
        <v>4.26</v>
      </c>
      <c r="K2">
        <v>0</v>
      </c>
      <c r="L2">
        <v>4.5</v>
      </c>
      <c r="M2">
        <v>627171.9</v>
      </c>
      <c r="N2">
        <v>105772.75</v>
      </c>
      <c r="O2">
        <f>IF($D2="High Street",1,0)</f>
        <v>0</v>
      </c>
      <c r="P2">
        <f>IF($D2="Mall",1,0)</f>
        <v>1</v>
      </c>
      <c r="Q2">
        <f>IF($D2="Airport",1,0)</f>
        <v>0</v>
      </c>
      <c r="R2">
        <f>IF($C2="North",1,0)</f>
        <v>0</v>
      </c>
      <c r="S2">
        <f>IF($C2="South",1,0)</f>
        <v>1</v>
      </c>
      <c r="T2">
        <f>IF($C2="East",1,0)</f>
        <v>0</v>
      </c>
      <c r="U2">
        <f>66915.46892+(1.209928492*E2)+(27.33619482*F2)+(-41243.14883*G2)+(3508.399163*H2)+(3062.210286*I2)+(-3438.10791*J2)+(15157.28728*K2)+(12509.46131*L2)+(20219.25907*O2)+(32832.85351*P2)+(44695.0949*Q2)+(-15342.70531*R2)+(-4201.853217*S2)+(-25291.41891*T2)</f>
        <v>764038.71097955271</v>
      </c>
      <c r="V2">
        <f>M2-U2</f>
        <v>-136866.81097955268</v>
      </c>
      <c r="W2">
        <f>V2^2</f>
        <v>18732523947.712605</v>
      </c>
    </row>
    <row r="3" spans="1:23">
      <c r="A3" t="s">
        <v>38</v>
      </c>
      <c r="B3" s="2">
        <v>45717</v>
      </c>
      <c r="C3" t="s">
        <v>27</v>
      </c>
      <c r="D3" t="s">
        <v>18</v>
      </c>
      <c r="E3">
        <v>79346.100000000006</v>
      </c>
      <c r="F3">
        <v>9628</v>
      </c>
      <c r="G3">
        <v>0.10199999999999999</v>
      </c>
      <c r="H3">
        <v>20</v>
      </c>
      <c r="I3">
        <v>99</v>
      </c>
      <c r="J3">
        <v>19.010000000000002</v>
      </c>
      <c r="K3">
        <v>1</v>
      </c>
      <c r="L3">
        <v>3.2</v>
      </c>
      <c r="M3">
        <v>685379.08</v>
      </c>
      <c r="N3">
        <v>106898.82</v>
      </c>
      <c r="O3">
        <f>IF($D3="High Street",1,0)</f>
        <v>1</v>
      </c>
      <c r="P3">
        <f>IF($D3="Mall",1,0)</f>
        <v>0</v>
      </c>
      <c r="Q3">
        <f>IF($D3="Airport",1,0)</f>
        <v>0</v>
      </c>
      <c r="R3">
        <f>IF($C3="North",1,0)</f>
        <v>0</v>
      </c>
      <c r="S3">
        <f>IF($C3="South",1,0)</f>
        <v>0</v>
      </c>
      <c r="T3">
        <f>IF($C3="East",1,0)</f>
        <v>0</v>
      </c>
      <c r="U3">
        <f>66915.46892+(1.209928492*E3)+(27.33619482*F3)+(-41243.14883*G3)+(3508.399163*H3)+(3062.210286*I3)+(-3438.10791*J3)+(15157.28728*K3)+(12509.46131*L3)+(20219.25907*O3)+(32832.85351*P3)+(44695.0949*Q3)+(-15342.70531*R3)+(-4201.853217*S3)+(-25291.41891*T3)</f>
        <v>805279.85133228125</v>
      </c>
      <c r="V3">
        <f>M3-U3</f>
        <v>-119900.77133228129</v>
      </c>
      <c r="W3">
        <f>V3^2</f>
        <v>14376194966.076008</v>
      </c>
    </row>
    <row r="4" spans="1:23">
      <c r="A4" t="s">
        <v>33</v>
      </c>
      <c r="B4" s="2">
        <v>45658</v>
      </c>
      <c r="C4" t="s">
        <v>27</v>
      </c>
      <c r="D4" t="s">
        <v>16</v>
      </c>
      <c r="E4">
        <v>138855.51</v>
      </c>
      <c r="F4">
        <v>5145</v>
      </c>
      <c r="G4">
        <v>0.06</v>
      </c>
      <c r="H4">
        <v>17</v>
      </c>
      <c r="I4">
        <v>88.2</v>
      </c>
      <c r="J4">
        <v>9.58</v>
      </c>
      <c r="K4">
        <v>0</v>
      </c>
      <c r="L4">
        <v>3.2</v>
      </c>
      <c r="M4">
        <v>595467.6</v>
      </c>
      <c r="N4">
        <v>104276.46</v>
      </c>
      <c r="O4">
        <f>IF($D4="High Street",1,0)</f>
        <v>0</v>
      </c>
      <c r="P4">
        <f>IF($D4="Mall",1,0)</f>
        <v>0</v>
      </c>
      <c r="Q4">
        <f>IF($D4="Airport",1,0)</f>
        <v>0</v>
      </c>
      <c r="R4">
        <f>IF($C4="North",1,0)</f>
        <v>0</v>
      </c>
      <c r="S4">
        <f>IF($C4="South",1,0)</f>
        <v>0</v>
      </c>
      <c r="T4">
        <f>IF($C4="East",1,0)</f>
        <v>0</v>
      </c>
      <c r="U4">
        <f>66915.46892+(1.209928492*E4)+(27.33619482*F4)+(-41243.14883*G4)+(3508.399163*H4)+(3062.210286*I4)+(-3438.10791*J4)+(15157.28728*K4)+(12509.46131*L4)+(20219.25907*O4)+(32832.85351*P4)+(44695.0949*Q4)+(-15342.70531*R4)+(-4201.853217*S4)+(-25291.41891*T4)</f>
        <v>709913.77556969097</v>
      </c>
      <c r="V4">
        <f>M4-U4</f>
        <v>-114446.175569691</v>
      </c>
      <c r="W4">
        <f>V4^2</f>
        <v>13097927102.528536</v>
      </c>
    </row>
    <row r="5" spans="1:23">
      <c r="A5" t="s">
        <v>26</v>
      </c>
      <c r="B5" s="2">
        <v>45689</v>
      </c>
      <c r="C5" t="s">
        <v>27</v>
      </c>
      <c r="D5" t="s">
        <v>28</v>
      </c>
      <c r="E5">
        <v>172415.52</v>
      </c>
      <c r="F5">
        <v>8927</v>
      </c>
      <c r="G5">
        <v>0.14000000000000001</v>
      </c>
      <c r="H5">
        <v>22</v>
      </c>
      <c r="I5">
        <v>86.2</v>
      </c>
      <c r="J5">
        <v>7.04</v>
      </c>
      <c r="K5">
        <v>0</v>
      </c>
      <c r="L5">
        <v>3.9</v>
      </c>
      <c r="M5">
        <v>800451.94</v>
      </c>
      <c r="N5">
        <v>111572.29</v>
      </c>
      <c r="O5">
        <f>IF($D5="High Street",1,0)</f>
        <v>0</v>
      </c>
      <c r="P5">
        <f>IF($D5="Mall",1,0)</f>
        <v>1</v>
      </c>
      <c r="Q5">
        <f>IF($D5="Airport",1,0)</f>
        <v>0</v>
      </c>
      <c r="R5">
        <f>IF($C5="North",1,0)</f>
        <v>0</v>
      </c>
      <c r="S5">
        <f>IF($C5="South",1,0)</f>
        <v>0</v>
      </c>
      <c r="T5">
        <f>IF($C5="East",1,0)</f>
        <v>0</v>
      </c>
      <c r="U5">
        <f>66915.46892+(1.209928492*E5)+(27.33619482*F5)+(-41243.14883*G5)+(3508.399163*H5)+(3062.210286*I5)+(-3438.10791*J5)+(15157.28728*K5)+(12509.46131*L5)+(20219.25907*O5)+(32832.85351*P5)+(44695.0949*Q5)+(-15342.70531*R5)+(-4201.853217*S5)+(-25291.41891*T5)</f>
        <v>912344.87052473577</v>
      </c>
      <c r="V5">
        <f>M5-U5</f>
        <v>-111892.93052473583</v>
      </c>
      <c r="W5">
        <f>V5^2</f>
        <v>12520027901.413359</v>
      </c>
    </row>
    <row r="6" spans="1:23">
      <c r="A6" t="s">
        <v>81</v>
      </c>
      <c r="B6" s="2">
        <v>45658</v>
      </c>
      <c r="C6" t="s">
        <v>27</v>
      </c>
      <c r="D6" t="s">
        <v>28</v>
      </c>
      <c r="E6">
        <v>46495.4</v>
      </c>
      <c r="F6">
        <v>9908</v>
      </c>
      <c r="G6">
        <v>0.121</v>
      </c>
      <c r="H6">
        <v>22</v>
      </c>
      <c r="I6">
        <v>89.4</v>
      </c>
      <c r="J6">
        <v>3.22</v>
      </c>
      <c r="K6">
        <v>0</v>
      </c>
      <c r="L6">
        <v>3.7</v>
      </c>
      <c r="M6">
        <v>721079.35</v>
      </c>
      <c r="N6">
        <v>115295.05</v>
      </c>
      <c r="O6">
        <f>IF($D6="High Street",1,0)</f>
        <v>0</v>
      </c>
      <c r="P6">
        <f>IF($D6="Mall",1,0)</f>
        <v>1</v>
      </c>
      <c r="Q6">
        <f>IF($D6="Airport",1,0)</f>
        <v>0</v>
      </c>
      <c r="R6">
        <f>IF($C6="North",1,0)</f>
        <v>0</v>
      </c>
      <c r="S6">
        <f>IF($C6="South",1,0)</f>
        <v>0</v>
      </c>
      <c r="T6">
        <f>IF($C6="East",1,0)</f>
        <v>0</v>
      </c>
      <c r="U6">
        <f>66915.46892+(1.209928492*E6)+(27.33619482*F6)+(-41243.14883*G6)+(3508.399163*H6)+(3062.210286*I6)+(-3438.10791*J6)+(15157.28728*K6)+(12509.46131*L6)+(20219.25907*O6)+(32832.85351*P6)+(44695.0949*Q6)+(-15342.70531*R6)+(-4201.853217*S6)+(-25291.41891*T6)</f>
        <v>808021.7094362668</v>
      </c>
      <c r="V6">
        <f>M6-U6</f>
        <v>-86942.359436266823</v>
      </c>
      <c r="W6">
        <f>V6^2</f>
        <v>7558973864.3450146</v>
      </c>
    </row>
    <row r="7" spans="1:23">
      <c r="A7" t="s">
        <v>89</v>
      </c>
      <c r="B7" s="2">
        <v>45658</v>
      </c>
      <c r="C7" t="s">
        <v>15</v>
      </c>
      <c r="D7" t="s">
        <v>28</v>
      </c>
      <c r="E7">
        <v>48752.92</v>
      </c>
      <c r="F7">
        <v>8052</v>
      </c>
      <c r="G7">
        <v>0.106</v>
      </c>
      <c r="H7">
        <v>16</v>
      </c>
      <c r="I7">
        <v>94.9</v>
      </c>
      <c r="J7">
        <v>0.65</v>
      </c>
      <c r="K7">
        <v>0</v>
      </c>
      <c r="L7">
        <v>3.6</v>
      </c>
      <c r="M7">
        <v>660633.99</v>
      </c>
      <c r="N7">
        <v>118768.66</v>
      </c>
      <c r="O7">
        <f>IF($D7="High Street",1,0)</f>
        <v>0</v>
      </c>
      <c r="P7">
        <f>IF($D7="Mall",1,0)</f>
        <v>1</v>
      </c>
      <c r="Q7">
        <f>IF($D7="Airport",1,0)</f>
        <v>0</v>
      </c>
      <c r="R7">
        <f>IF($C7="North",1,0)</f>
        <v>0</v>
      </c>
      <c r="S7">
        <f>IF($C7="South",1,0)</f>
        <v>0</v>
      </c>
      <c r="T7">
        <f>IF($C7="East",1,0)</f>
        <v>1</v>
      </c>
      <c r="U7">
        <f>66915.46892+(1.209928492*E7)+(27.33619482*F7)+(-41243.14883*G7)+(3508.399163*H7)+(3062.210286*I7)+(-3438.10791*J7)+(15157.28728*K7)+(12509.46131*L7)+(20219.25907*O7)+(32832.85351*P7)+(44695.0949*Q7)+(-15342.70531*R7)+(-4201.853217*S7)+(-25291.41891*T7)</f>
        <v>738721.15073475672</v>
      </c>
      <c r="V7">
        <f>M7-U7</f>
        <v>-78087.160734756733</v>
      </c>
      <c r="W7">
        <f>V7^2</f>
        <v>6097604671.6157341</v>
      </c>
    </row>
    <row r="8" spans="1:23">
      <c r="A8" t="s">
        <v>35</v>
      </c>
      <c r="B8" s="2">
        <v>45748</v>
      </c>
      <c r="C8" t="s">
        <v>27</v>
      </c>
      <c r="D8" t="s">
        <v>18</v>
      </c>
      <c r="E8">
        <v>27808.6</v>
      </c>
      <c r="F8">
        <v>2863</v>
      </c>
      <c r="G8">
        <v>0.08</v>
      </c>
      <c r="H8">
        <v>13</v>
      </c>
      <c r="I8">
        <v>89.3</v>
      </c>
      <c r="J8">
        <v>0.47</v>
      </c>
      <c r="K8">
        <v>0</v>
      </c>
      <c r="L8">
        <v>4.0999999999999996</v>
      </c>
      <c r="M8">
        <v>487464.91</v>
      </c>
      <c r="N8">
        <v>64562.26</v>
      </c>
      <c r="O8">
        <f>IF($D8="High Street",1,0)</f>
        <v>1</v>
      </c>
      <c r="P8">
        <f>IF($D8="Mall",1,0)</f>
        <v>0</v>
      </c>
      <c r="Q8">
        <f>IF($D8="Airport",1,0)</f>
        <v>0</v>
      </c>
      <c r="R8">
        <f>IF($C8="North",1,0)</f>
        <v>0</v>
      </c>
      <c r="S8">
        <f>IF($C8="South",1,0)</f>
        <v>0</v>
      </c>
      <c r="T8">
        <f>IF($C8="East",1,0)</f>
        <v>0</v>
      </c>
      <c r="U8">
        <f>66915.46892+(1.209928492*E8)+(27.33619482*F8)+(-41243.14883*G8)+(3508.399163*H8)+(3062.210286*I8)+(-3438.10791*J8)+(15157.28728*K8)+(12509.46131*L8)+(20219.25907*O8)+(32832.85351*P8)+(44695.0949*Q8)+(-15342.70531*R8)+(-4201.853217*S8)+(-25291.41891*T8)</f>
        <v>564482.66762799129</v>
      </c>
      <c r="V8">
        <f>M8-U8</f>
        <v>-77017.757627991319</v>
      </c>
      <c r="W8">
        <f>V8^2</f>
        <v>5931734990.0440149</v>
      </c>
    </row>
    <row r="9" spans="1:23">
      <c r="A9" t="s">
        <v>73</v>
      </c>
      <c r="B9" s="2">
        <v>45748</v>
      </c>
      <c r="C9" t="s">
        <v>15</v>
      </c>
      <c r="D9" t="s">
        <v>28</v>
      </c>
      <c r="E9">
        <v>56413.83</v>
      </c>
      <c r="F9">
        <v>8303</v>
      </c>
      <c r="G9">
        <v>0.11600000000000001</v>
      </c>
      <c r="H9">
        <v>18</v>
      </c>
      <c r="I9">
        <v>93.6</v>
      </c>
      <c r="J9">
        <v>2.7</v>
      </c>
      <c r="K9">
        <v>0</v>
      </c>
      <c r="L9">
        <v>3.7</v>
      </c>
      <c r="M9">
        <v>675917.63</v>
      </c>
      <c r="N9">
        <v>112564.75</v>
      </c>
      <c r="O9">
        <f>IF($D9="High Street",1,0)</f>
        <v>0</v>
      </c>
      <c r="P9">
        <f>IF($D9="Mall",1,0)</f>
        <v>1</v>
      </c>
      <c r="Q9">
        <f>IF($D9="Airport",1,0)</f>
        <v>0</v>
      </c>
      <c r="R9">
        <f>IF($C9="North",1,0)</f>
        <v>0</v>
      </c>
      <c r="S9">
        <f>IF($C9="South",1,0)</f>
        <v>0</v>
      </c>
      <c r="T9">
        <f>IF($C9="East",1,0)</f>
        <v>1</v>
      </c>
      <c r="U9">
        <f>66915.46892+(1.209928492*E9)+(27.33619482*F9)+(-41243.14883*G9)+(3508.399163*H9)+(3062.210286*I9)+(-3438.10791*J9)+(15157.28728*K9)+(12509.46131*L9)+(20219.25907*O9)+(32832.85351*P9)+(44695.0949*Q9)+(-15342.70531*R9)+(-4201.853217*S9)+(-25291.41891*T9)</f>
        <v>751678.00729962438</v>
      </c>
      <c r="V9">
        <f>M9-U9</f>
        <v>-75760.377299624379</v>
      </c>
      <c r="W9">
        <f>V9^2</f>
        <v>5739634768.5814409</v>
      </c>
    </row>
    <row r="10" spans="1:23">
      <c r="A10" t="s">
        <v>14</v>
      </c>
      <c r="B10" s="2">
        <v>45748</v>
      </c>
      <c r="C10" t="s">
        <v>15</v>
      </c>
      <c r="D10" t="s">
        <v>16</v>
      </c>
      <c r="E10">
        <v>56856.63</v>
      </c>
      <c r="F10">
        <v>9431</v>
      </c>
      <c r="G10">
        <v>0.14199999999999999</v>
      </c>
      <c r="H10">
        <v>23</v>
      </c>
      <c r="I10">
        <v>86.9</v>
      </c>
      <c r="J10">
        <v>4.97</v>
      </c>
      <c r="K10">
        <v>0</v>
      </c>
      <c r="L10">
        <v>3.4</v>
      </c>
      <c r="M10">
        <v>658920.30000000005</v>
      </c>
      <c r="N10">
        <v>97910.37</v>
      </c>
      <c r="O10">
        <f>IF($D10="High Street",1,0)</f>
        <v>0</v>
      </c>
      <c r="P10">
        <f>IF($D10="Mall",1,0)</f>
        <v>0</v>
      </c>
      <c r="Q10">
        <f>IF($D10="Airport",1,0)</f>
        <v>0</v>
      </c>
      <c r="R10">
        <f>IF($C10="North",1,0)</f>
        <v>0</v>
      </c>
      <c r="S10">
        <f>IF($C10="South",1,0)</f>
        <v>0</v>
      </c>
      <c r="T10">
        <f>IF($C10="East",1,0)</f>
        <v>1</v>
      </c>
      <c r="U10">
        <f>66915.46892+(1.209928492*E10)+(27.33619482*F10)+(-41243.14883*G10)+(3508.399163*H10)+(3062.210286*I10)+(-3438.10791*J10)+(15157.28728*K10)+(12509.46131*L10)+(20219.25907*O10)+(32832.85351*P10)+(44695.0949*Q10)+(-15342.70531*R10)+(-4201.853217*S10)+(-25291.41891*T10)</f>
        <v>734611.65956336202</v>
      </c>
      <c r="V10">
        <f>M10-U10</f>
        <v>-75691.35956336197</v>
      </c>
      <c r="W10">
        <f>V10^2</f>
        <v>5729181912.5501471</v>
      </c>
    </row>
    <row r="11" spans="1:23">
      <c r="A11" t="s">
        <v>56</v>
      </c>
      <c r="B11" s="2">
        <v>45658</v>
      </c>
      <c r="C11" t="s">
        <v>24</v>
      </c>
      <c r="D11" t="s">
        <v>16</v>
      </c>
      <c r="E11">
        <v>71320.66</v>
      </c>
      <c r="F11">
        <v>7888</v>
      </c>
      <c r="G11">
        <v>4.8000000000000001E-2</v>
      </c>
      <c r="H11">
        <v>20</v>
      </c>
      <c r="I11">
        <v>78.099999999999994</v>
      </c>
      <c r="J11">
        <v>3.4</v>
      </c>
      <c r="K11">
        <v>0</v>
      </c>
      <c r="L11">
        <v>3.9</v>
      </c>
      <c r="M11">
        <v>633638.03</v>
      </c>
      <c r="N11">
        <v>99402.01</v>
      </c>
      <c r="O11">
        <f>IF($D11="High Street",1,0)</f>
        <v>0</v>
      </c>
      <c r="P11">
        <f>IF($D11="Mall",1,0)</f>
        <v>0</v>
      </c>
      <c r="Q11">
        <f>IF($D11="Airport",1,0)</f>
        <v>0</v>
      </c>
      <c r="R11">
        <f>IF($C11="North",1,0)</f>
        <v>0</v>
      </c>
      <c r="S11">
        <f>IF($C11="South",1,0)</f>
        <v>1</v>
      </c>
      <c r="T11">
        <f>IF($C11="East",1,0)</f>
        <v>0</v>
      </c>
      <c r="U11">
        <f>66915.46892+(1.209928492*E11)+(27.33619482*F11)+(-41243.14883*G11)+(3508.399163*H11)+(3062.210286*I11)+(-3438.10791*J11)+(15157.28728*K11)+(12509.46131*L11)+(20219.25907*O11)+(32832.85351*P11)+(44695.0949*Q11)+(-15342.70531*R11)+(-4201.853217*S11)+(-25291.41891*T11)</f>
        <v>709078.68671316456</v>
      </c>
      <c r="V11">
        <f>M11-U11</f>
        <v>-75440.656713164528</v>
      </c>
      <c r="W11">
        <f>V11^2</f>
        <v>5691292685.3135357</v>
      </c>
    </row>
    <row r="12" spans="1:23">
      <c r="A12" t="s">
        <v>89</v>
      </c>
      <c r="B12" s="2">
        <v>45748</v>
      </c>
      <c r="C12" t="s">
        <v>15</v>
      </c>
      <c r="D12" t="s">
        <v>28</v>
      </c>
      <c r="E12">
        <v>29344.93</v>
      </c>
      <c r="F12">
        <v>7446</v>
      </c>
      <c r="G12">
        <v>0.111</v>
      </c>
      <c r="H12">
        <v>15</v>
      </c>
      <c r="I12">
        <v>86.2</v>
      </c>
      <c r="J12">
        <v>0.2</v>
      </c>
      <c r="K12">
        <v>0</v>
      </c>
      <c r="L12">
        <v>3.2</v>
      </c>
      <c r="M12">
        <v>593343</v>
      </c>
      <c r="N12">
        <v>82832.240000000005</v>
      </c>
      <c r="O12">
        <f>IF($D12="High Street",1,0)</f>
        <v>0</v>
      </c>
      <c r="P12">
        <f>IF($D12="Mall",1,0)</f>
        <v>1</v>
      </c>
      <c r="Q12">
        <f>IF($D12="Airport",1,0)</f>
        <v>0</v>
      </c>
      <c r="R12">
        <f>IF($C12="North",1,0)</f>
        <v>0</v>
      </c>
      <c r="S12">
        <f>IF($C12="South",1,0)</f>
        <v>0</v>
      </c>
      <c r="T12">
        <f>IF($C12="East",1,0)</f>
        <v>1</v>
      </c>
      <c r="U12">
        <f>66915.46892+(1.209928492*E12)+(27.33619482*F12)+(-41243.14883*G12)+(3508.399163*H12)+(3062.210286*I12)+(-3438.10791*J12)+(15157.28728*K12)+(12509.46131*L12)+(20219.25907*O12)+(32832.85351*P12)+(44695.0949*Q12)+(-15342.70531*R12)+(-4201.853217*S12)+(-25291.41891*T12)</f>
        <v>664860.65624053555</v>
      </c>
      <c r="V12">
        <f>M12-U12</f>
        <v>-71517.656240535551</v>
      </c>
      <c r="W12">
        <f>V12^2</f>
        <v>5114775154.1394138</v>
      </c>
    </row>
    <row r="13" spans="1:23">
      <c r="A13" t="s">
        <v>25</v>
      </c>
      <c r="B13" s="2">
        <v>45658</v>
      </c>
      <c r="C13" t="s">
        <v>20</v>
      </c>
      <c r="D13" t="s">
        <v>16</v>
      </c>
      <c r="E13">
        <v>30356.28</v>
      </c>
      <c r="F13">
        <v>2822</v>
      </c>
      <c r="G13">
        <v>0.23100000000000001</v>
      </c>
      <c r="H13">
        <v>9</v>
      </c>
      <c r="I13">
        <v>84.8</v>
      </c>
      <c r="J13">
        <v>6.95</v>
      </c>
      <c r="K13">
        <v>0</v>
      </c>
      <c r="L13">
        <v>5</v>
      </c>
      <c r="M13">
        <v>415721.82</v>
      </c>
      <c r="N13">
        <v>61179.15</v>
      </c>
      <c r="O13">
        <f>IF($D13="High Street",1,0)</f>
        <v>0</v>
      </c>
      <c r="P13">
        <f>IF($D13="Mall",1,0)</f>
        <v>0</v>
      </c>
      <c r="Q13">
        <f>IF($D13="Airport",1,0)</f>
        <v>0</v>
      </c>
      <c r="R13">
        <f>IF($C13="North",1,0)</f>
        <v>1</v>
      </c>
      <c r="S13">
        <f>IF($C13="South",1,0)</f>
        <v>0</v>
      </c>
      <c r="T13">
        <f>IF($C13="East",1,0)</f>
        <v>0</v>
      </c>
      <c r="U13">
        <f>66915.46892+(1.209928492*E13)+(27.33619482*F13)+(-41243.14883*G13)+(3508.399163*H13)+(3062.210286*I13)+(-3438.10791*J13)+(15157.28728*K13)+(12509.46131*L13)+(20219.25907*O13)+(32832.85351*P13)+(44695.0949*Q13)+(-15342.70531*R13)+(-4201.853217*S13)+(-25291.41891*T13)</f>
        <v>485820.74739073974</v>
      </c>
      <c r="V13">
        <f>M13-U13</f>
        <v>-70098.927390739729</v>
      </c>
      <c r="W13">
        <f>V13^2</f>
        <v>4913859621.332201</v>
      </c>
    </row>
    <row r="14" spans="1:23">
      <c r="A14" t="s">
        <v>92</v>
      </c>
      <c r="B14" s="2">
        <v>45658</v>
      </c>
      <c r="C14" t="s">
        <v>24</v>
      </c>
      <c r="D14" t="s">
        <v>18</v>
      </c>
      <c r="E14">
        <v>45940.39</v>
      </c>
      <c r="F14">
        <v>4022</v>
      </c>
      <c r="G14">
        <v>6.9000000000000006E-2</v>
      </c>
      <c r="H14">
        <v>10</v>
      </c>
      <c r="I14">
        <v>83</v>
      </c>
      <c r="J14">
        <v>1.23</v>
      </c>
      <c r="K14">
        <v>1</v>
      </c>
      <c r="L14">
        <v>3.8</v>
      </c>
      <c r="M14">
        <v>524899.56999999995</v>
      </c>
      <c r="N14">
        <v>63619.98</v>
      </c>
      <c r="O14">
        <f>IF($D14="High Street",1,0)</f>
        <v>1</v>
      </c>
      <c r="P14">
        <f>IF($D14="Mall",1,0)</f>
        <v>0</v>
      </c>
      <c r="Q14">
        <f>IF($D14="Airport",1,0)</f>
        <v>0</v>
      </c>
      <c r="R14">
        <f>IF($C14="North",1,0)</f>
        <v>0</v>
      </c>
      <c r="S14">
        <f>IF($C14="South",1,0)</f>
        <v>1</v>
      </c>
      <c r="T14">
        <f>IF($C14="East",1,0)</f>
        <v>0</v>
      </c>
      <c r="U14">
        <f>66915.46892+(1.209928492*E14)+(27.33619482*F14)+(-41243.14883*G14)+(3508.399163*H14)+(3062.210286*I14)+(-3438.10791*J14)+(15157.28728*K14)+(12509.46131*L14)+(20219.25907*O14)+(32832.85351*P14)+(44695.0949*Q14)+(-15342.70531*R14)+(-4201.853217*S14)+(-25291.41891*T14)</f>
        <v>593329.67276106193</v>
      </c>
      <c r="V14">
        <f>M14-U14</f>
        <v>-68430.102761061979</v>
      </c>
      <c r="W14">
        <f>V14^2</f>
        <v>4682678963.8895025</v>
      </c>
    </row>
    <row r="15" spans="1:23">
      <c r="A15" t="s">
        <v>30</v>
      </c>
      <c r="B15" s="2">
        <v>45658</v>
      </c>
      <c r="C15" t="s">
        <v>20</v>
      </c>
      <c r="D15" t="s">
        <v>16</v>
      </c>
      <c r="E15">
        <v>54597.83</v>
      </c>
      <c r="F15">
        <v>9429</v>
      </c>
      <c r="G15">
        <v>0.188</v>
      </c>
      <c r="H15">
        <v>21</v>
      </c>
      <c r="I15">
        <v>83.3</v>
      </c>
      <c r="J15">
        <v>11.71</v>
      </c>
      <c r="K15">
        <v>0</v>
      </c>
      <c r="L15">
        <v>4.2</v>
      </c>
      <c r="M15">
        <v>641865.03</v>
      </c>
      <c r="N15">
        <v>81342.58</v>
      </c>
      <c r="O15">
        <f>IF($D15="High Street",1,0)</f>
        <v>0</v>
      </c>
      <c r="P15">
        <f>IF($D15="Mall",1,0)</f>
        <v>0</v>
      </c>
      <c r="Q15">
        <f>IF($D15="Airport",1,0)</f>
        <v>0</v>
      </c>
      <c r="R15">
        <f>IF($C15="North",1,0)</f>
        <v>1</v>
      </c>
      <c r="S15">
        <f>IF($C15="South",1,0)</f>
        <v>0</v>
      </c>
      <c r="T15">
        <f>IF($C15="East",1,0)</f>
        <v>0</v>
      </c>
      <c r="U15">
        <f>66915.46892+(1.209928492*E15)+(27.33619482*F15)+(-41243.14883*G15)+(3508.399163*H15)+(3062.210286*I15)+(-3438.10791*J15)+(15157.28728*K15)+(12509.46131*L15)+(20219.25907*O15)+(32832.85351*P15)+(44695.0949*Q15)+(-15342.70531*R15)+(-4201.853217*S15)+(-25291.41891*T15)</f>
        <v>708669.49582881236</v>
      </c>
      <c r="V15">
        <f>M15-U15</f>
        <v>-66804.465828812332</v>
      </c>
      <c r="W15">
        <f>V15^2</f>
        <v>4462836654.6729546</v>
      </c>
    </row>
    <row r="16" spans="1:23">
      <c r="A16" t="s">
        <v>85</v>
      </c>
      <c r="B16" s="2">
        <v>45748</v>
      </c>
      <c r="C16" t="s">
        <v>24</v>
      </c>
      <c r="D16" t="s">
        <v>21</v>
      </c>
      <c r="E16">
        <v>36290.080000000002</v>
      </c>
      <c r="F16">
        <v>5787</v>
      </c>
      <c r="G16">
        <v>0</v>
      </c>
      <c r="H16">
        <v>17</v>
      </c>
      <c r="I16">
        <v>88.3</v>
      </c>
      <c r="J16">
        <v>4.1900000000000004</v>
      </c>
      <c r="K16">
        <v>0</v>
      </c>
      <c r="L16">
        <v>4.0999999999999996</v>
      </c>
      <c r="M16">
        <v>612390.14</v>
      </c>
      <c r="N16">
        <v>108985.74</v>
      </c>
      <c r="O16">
        <f>IF($D16="High Street",1,0)</f>
        <v>0</v>
      </c>
      <c r="P16">
        <f>IF($D16="Mall",1,0)</f>
        <v>0</v>
      </c>
      <c r="Q16">
        <f>IF($D16="Airport",1,0)</f>
        <v>1</v>
      </c>
      <c r="R16">
        <f>IF($C16="North",1,0)</f>
        <v>0</v>
      </c>
      <c r="S16">
        <f>IF($C16="South",1,0)</f>
        <v>1</v>
      </c>
      <c r="T16">
        <f>IF($C16="East",1,0)</f>
        <v>0</v>
      </c>
      <c r="U16">
        <f>66915.46892+(1.209928492*E16)+(27.33619482*F16)+(-41243.14883*G16)+(3508.399163*H16)+(3062.210286*I16)+(-3438.10791*J16)+(15157.28728*K16)+(12509.46131*L16)+(20219.25907*O16)+(32832.85351*P16)+(44695.0949*Q16)+(-15342.70531*R16)+(-4201.853217*S16)+(-25291.41891*T16)</f>
        <v>676430.74504819931</v>
      </c>
      <c r="V16">
        <f>M16-U16</f>
        <v>-64040.605048199301</v>
      </c>
      <c r="W16">
        <f>V16^2</f>
        <v>4101199094.9394498</v>
      </c>
    </row>
    <row r="17" spans="1:23">
      <c r="A17" t="s">
        <v>54</v>
      </c>
      <c r="B17" s="2">
        <v>45717</v>
      </c>
      <c r="C17" t="s">
        <v>15</v>
      </c>
      <c r="D17" t="s">
        <v>18</v>
      </c>
      <c r="E17">
        <v>50735.63</v>
      </c>
      <c r="F17">
        <v>9619</v>
      </c>
      <c r="G17">
        <v>0.14399999999999999</v>
      </c>
      <c r="H17">
        <v>19</v>
      </c>
      <c r="I17">
        <v>93.8</v>
      </c>
      <c r="J17">
        <v>5.12</v>
      </c>
      <c r="K17">
        <v>1</v>
      </c>
      <c r="L17">
        <v>4.5</v>
      </c>
      <c r="M17">
        <v>725235.28</v>
      </c>
      <c r="N17">
        <v>121632.24</v>
      </c>
      <c r="O17">
        <f>IF($D17="High Street",1,0)</f>
        <v>1</v>
      </c>
      <c r="P17">
        <f>IF($D17="Mall",1,0)</f>
        <v>0</v>
      </c>
      <c r="Q17">
        <f>IF($D17="Airport",1,0)</f>
        <v>0</v>
      </c>
      <c r="R17">
        <f>IF($C17="North",1,0)</f>
        <v>0</v>
      </c>
      <c r="S17">
        <f>IF($C17="South",1,0)</f>
        <v>0</v>
      </c>
      <c r="T17">
        <f>IF($C17="East",1,0)</f>
        <v>1</v>
      </c>
      <c r="U17">
        <f>66915.46892+(1.209928492*E17)+(27.33619482*F17)+(-41243.14883*G17)+(3508.399163*H17)+(3062.210286*I17)+(-3438.10791*J17)+(15157.28728*K17)+(12509.46131*L17)+(20219.25907*O17)+(32832.85351*P17)+(44695.0949*Q17)+(-15342.70531*R17)+(-4201.853217*S17)+(-25291.41891*T17)</f>
        <v>787979.29751822993</v>
      </c>
      <c r="V17">
        <f>M17-U17</f>
        <v>-62744.017518229899</v>
      </c>
      <c r="W17">
        <f>V17^2</f>
        <v>3936811734.3279405</v>
      </c>
    </row>
    <row r="18" spans="1:23">
      <c r="A18" t="s">
        <v>55</v>
      </c>
      <c r="B18" s="2">
        <v>45689</v>
      </c>
      <c r="C18" t="s">
        <v>20</v>
      </c>
      <c r="D18" t="s">
        <v>18</v>
      </c>
      <c r="E18">
        <v>22071.64</v>
      </c>
      <c r="F18">
        <v>1814</v>
      </c>
      <c r="G18">
        <v>0.19600000000000001</v>
      </c>
      <c r="H18">
        <v>8</v>
      </c>
      <c r="I18">
        <v>81.099999999999994</v>
      </c>
      <c r="J18">
        <v>0.78</v>
      </c>
      <c r="K18">
        <v>0</v>
      </c>
      <c r="L18">
        <v>3.9</v>
      </c>
      <c r="M18">
        <v>400831.65</v>
      </c>
      <c r="N18">
        <v>70979.31</v>
      </c>
      <c r="O18">
        <f>IF($D18="High Street",1,0)</f>
        <v>1</v>
      </c>
      <c r="P18">
        <f>IF($D18="Mall",1,0)</f>
        <v>0</v>
      </c>
      <c r="Q18">
        <f>IF($D18="Airport",1,0)</f>
        <v>0</v>
      </c>
      <c r="R18">
        <f>IF($C18="North",1,0)</f>
        <v>1</v>
      </c>
      <c r="S18">
        <f>IF($C18="South",1,0)</f>
        <v>0</v>
      </c>
      <c r="T18">
        <f>IF($C18="East",1,0)</f>
        <v>0</v>
      </c>
      <c r="U18">
        <f>66915.46892+(1.209928492*E18)+(27.33619482*F18)+(-41243.14883*G18)+(3508.399163*H18)+(3062.210286*I18)+(-3438.10791*J18)+(15157.28728*K18)+(12509.46131*L18)+(20219.25907*O18)+(32832.85351*P18)+(44695.0949*Q18)+(-15342.70531*R18)+(-4201.853217*S18)+(-25291.41891*T18)</f>
        <v>462518.95145176689</v>
      </c>
      <c r="V18">
        <f>M18-U18</f>
        <v>-61687.301451766863</v>
      </c>
      <c r="W18">
        <f>V18^2</f>
        <v>3805323160.4011583</v>
      </c>
    </row>
    <row r="19" spans="1:23">
      <c r="A19" t="s">
        <v>36</v>
      </c>
      <c r="B19" s="2">
        <v>45717</v>
      </c>
      <c r="C19" t="s">
        <v>15</v>
      </c>
      <c r="D19" t="s">
        <v>21</v>
      </c>
      <c r="E19">
        <v>118910.48</v>
      </c>
      <c r="F19">
        <v>4022</v>
      </c>
      <c r="G19">
        <v>0.13700000000000001</v>
      </c>
      <c r="H19">
        <v>11</v>
      </c>
      <c r="I19">
        <v>87.1</v>
      </c>
      <c r="J19">
        <v>0.2</v>
      </c>
      <c r="K19">
        <v>0</v>
      </c>
      <c r="L19">
        <v>3.1</v>
      </c>
      <c r="M19">
        <v>617291.15</v>
      </c>
      <c r="N19">
        <v>117782</v>
      </c>
      <c r="O19">
        <f>IF($D19="High Street",1,0)</f>
        <v>0</v>
      </c>
      <c r="P19">
        <f>IF($D19="Mall",1,0)</f>
        <v>0</v>
      </c>
      <c r="Q19">
        <f>IF($D19="Airport",1,0)</f>
        <v>1</v>
      </c>
      <c r="R19">
        <f>IF($C19="North",1,0)</f>
        <v>0</v>
      </c>
      <c r="S19">
        <f>IF($C19="South",1,0)</f>
        <v>0</v>
      </c>
      <c r="T19">
        <f>IF($C19="East",1,0)</f>
        <v>1</v>
      </c>
      <c r="U19">
        <f>66915.46892+(1.209928492*E19)+(27.33619482*F19)+(-41243.14883*G19)+(3508.399163*H19)+(3062.210286*I19)+(-3438.10791*J19)+(15157.28728*K19)+(12509.46131*L19)+(20219.25907*O19)+(32832.85351*P19)+(44695.0949*Q19)+(-15342.70531*R19)+(-4201.853217*S19)+(-25291.41891*T19)</f>
        <v>677890.80201832601</v>
      </c>
      <c r="V19">
        <f>M19-U19</f>
        <v>-60599.652018325985</v>
      </c>
      <c r="W19">
        <f>V19^2</f>
        <v>3672317824.7422009</v>
      </c>
    </row>
    <row r="20" spans="1:23">
      <c r="A20" t="s">
        <v>101</v>
      </c>
      <c r="B20" s="2">
        <v>45658</v>
      </c>
      <c r="C20" t="s">
        <v>15</v>
      </c>
      <c r="D20" t="s">
        <v>16</v>
      </c>
      <c r="E20">
        <v>76614.320000000007</v>
      </c>
      <c r="F20">
        <v>5639</v>
      </c>
      <c r="G20">
        <v>0.17399999999999999</v>
      </c>
      <c r="H20">
        <v>15</v>
      </c>
      <c r="I20">
        <v>92.9</v>
      </c>
      <c r="J20">
        <v>1.02</v>
      </c>
      <c r="K20">
        <v>1</v>
      </c>
      <c r="L20">
        <v>4</v>
      </c>
      <c r="M20">
        <v>620264.19999999995</v>
      </c>
      <c r="N20">
        <v>91365.64</v>
      </c>
      <c r="O20">
        <f>IF($D20="High Street",1,0)</f>
        <v>0</v>
      </c>
      <c r="P20">
        <f>IF($D20="Mall",1,0)</f>
        <v>0</v>
      </c>
      <c r="Q20">
        <f>IF($D20="Airport",1,0)</f>
        <v>0</v>
      </c>
      <c r="R20">
        <f>IF($C20="North",1,0)</f>
        <v>0</v>
      </c>
      <c r="S20">
        <f>IF($C20="South",1,0)</f>
        <v>0</v>
      </c>
      <c r="T20">
        <f>IF($C20="East",1,0)</f>
        <v>1</v>
      </c>
      <c r="U20">
        <f>66915.46892+(1.209928492*E20)+(27.33619482*F20)+(-41243.14883*G20)+(3508.399163*H20)+(3062.210286*I20)+(-3438.10791*J20)+(15157.28728*K20)+(12509.46131*L20)+(20219.25907*O20)+(32832.85351*P20)+(44695.0949*Q20)+(-15342.70531*R20)+(-4201.853217*S20)+(-25291.41891*T20)</f>
        <v>680087.97883296548</v>
      </c>
      <c r="V20">
        <f>M20-U20</f>
        <v>-59823.77883296553</v>
      </c>
      <c r="W20">
        <f>V20^2</f>
        <v>3578884513.8555746</v>
      </c>
    </row>
    <row r="21" spans="1:23">
      <c r="A21" t="s">
        <v>69</v>
      </c>
      <c r="B21" s="2">
        <v>45748</v>
      </c>
      <c r="C21" t="s">
        <v>15</v>
      </c>
      <c r="D21" t="s">
        <v>18</v>
      </c>
      <c r="E21">
        <v>54966.18</v>
      </c>
      <c r="F21">
        <v>4423</v>
      </c>
      <c r="G21">
        <v>0.186</v>
      </c>
      <c r="H21">
        <v>13</v>
      </c>
      <c r="I21">
        <v>88.7</v>
      </c>
      <c r="J21">
        <v>0.2</v>
      </c>
      <c r="K21">
        <v>0</v>
      </c>
      <c r="L21">
        <v>4.4000000000000004</v>
      </c>
      <c r="M21">
        <v>554012.06999999995</v>
      </c>
      <c r="N21">
        <v>81101.62</v>
      </c>
      <c r="O21">
        <f>IF($D21="High Street",1,0)</f>
        <v>1</v>
      </c>
      <c r="P21">
        <f>IF($D21="Mall",1,0)</f>
        <v>0</v>
      </c>
      <c r="Q21">
        <f>IF($D21="Airport",1,0)</f>
        <v>0</v>
      </c>
      <c r="R21">
        <f>IF($C21="North",1,0)</f>
        <v>0</v>
      </c>
      <c r="S21">
        <f>IF($C21="South",1,0)</f>
        <v>0</v>
      </c>
      <c r="T21">
        <f>IF($C21="East",1,0)</f>
        <v>1</v>
      </c>
      <c r="U21">
        <f>66915.46892+(1.209928492*E21)+(27.33619482*F21)+(-41243.14883*G21)+(3508.399163*H21)+(3062.210286*I21)+(-3438.10791*J21)+(15157.28728*K21)+(12509.46131*L21)+(20219.25907*O21)+(32832.85351*P21)+(44695.0949*Q21)+(-15342.70531*R21)+(-4201.853217*S21)+(-25291.41891*T21)</f>
        <v>613166.47003408044</v>
      </c>
      <c r="V21">
        <f>M21-U21</f>
        <v>-59154.400034080492</v>
      </c>
      <c r="W21">
        <f>V21^2</f>
        <v>3499243043.3920221</v>
      </c>
    </row>
    <row r="22" spans="1:23">
      <c r="A22" t="s">
        <v>29</v>
      </c>
      <c r="B22" s="2">
        <v>45658</v>
      </c>
      <c r="C22" t="s">
        <v>15</v>
      </c>
      <c r="D22" t="s">
        <v>16</v>
      </c>
      <c r="E22">
        <v>68600.62</v>
      </c>
      <c r="F22">
        <v>3988</v>
      </c>
      <c r="G22">
        <v>0.124</v>
      </c>
      <c r="H22">
        <v>11</v>
      </c>
      <c r="I22">
        <v>85</v>
      </c>
      <c r="J22">
        <v>0.48</v>
      </c>
      <c r="K22">
        <v>0</v>
      </c>
      <c r="L22">
        <v>3.6</v>
      </c>
      <c r="M22">
        <v>511844.41</v>
      </c>
      <c r="N22">
        <v>72774.44</v>
      </c>
      <c r="O22">
        <f>IF($D22="High Street",1,0)</f>
        <v>0</v>
      </c>
      <c r="P22">
        <f>IF($D22="Mall",1,0)</f>
        <v>0</v>
      </c>
      <c r="Q22">
        <f>IF($D22="Airport",1,0)</f>
        <v>0</v>
      </c>
      <c r="R22">
        <f>IF($C22="North",1,0)</f>
        <v>0</v>
      </c>
      <c r="S22">
        <f>IF($C22="South",1,0)</f>
        <v>0</v>
      </c>
      <c r="T22">
        <f>IF($C22="East",1,0)</f>
        <v>1</v>
      </c>
      <c r="U22">
        <f>66915.46892+(1.209928492*E22)+(27.33619482*F22)+(-41243.14883*G22)+(3508.399163*H22)+(3062.210286*I22)+(-3438.10791*J22)+(15157.28728*K22)+(12509.46131*L22)+(20219.25907*O22)+(32832.85351*P22)+(44695.0949*Q22)+(-15342.70531*R22)+(-4201.853217*S22)+(-25291.41891*T22)</f>
        <v>570792.52322630514</v>
      </c>
      <c r="V22">
        <f>M22-U22</f>
        <v>-58948.11322630517</v>
      </c>
      <c r="W22">
        <f>V22^2</f>
        <v>3474880052.9412947</v>
      </c>
    </row>
    <row r="23" spans="1:23">
      <c r="A23" t="s">
        <v>99</v>
      </c>
      <c r="B23" s="2">
        <v>45689</v>
      </c>
      <c r="C23" t="s">
        <v>24</v>
      </c>
      <c r="D23" t="s">
        <v>18</v>
      </c>
      <c r="E23">
        <v>23702.38</v>
      </c>
      <c r="F23">
        <v>5285</v>
      </c>
      <c r="G23">
        <v>0.16700000000000001</v>
      </c>
      <c r="H23">
        <v>14</v>
      </c>
      <c r="I23">
        <v>79.7</v>
      </c>
      <c r="J23">
        <v>1.1000000000000001</v>
      </c>
      <c r="K23">
        <v>0</v>
      </c>
      <c r="L23">
        <v>4.3</v>
      </c>
      <c r="M23">
        <v>536524.84</v>
      </c>
      <c r="N23">
        <v>92752.94</v>
      </c>
      <c r="O23">
        <f>IF($D23="High Street",1,0)</f>
        <v>1</v>
      </c>
      <c r="P23">
        <f>IF($D23="Mall",1,0)</f>
        <v>0</v>
      </c>
      <c r="Q23">
        <f>IF($D23="Airport",1,0)</f>
        <v>0</v>
      </c>
      <c r="R23">
        <f>IF($C23="North",1,0)</f>
        <v>0</v>
      </c>
      <c r="S23">
        <f>IF($C23="South",1,0)</f>
        <v>1</v>
      </c>
      <c r="T23">
        <f>IF($C23="East",1,0)</f>
        <v>0</v>
      </c>
      <c r="U23">
        <f>66915.46892+(1.209928492*E23)+(27.33619482*F23)+(-41243.14883*G23)+(3508.399163*H23)+(3062.210286*I23)+(-3438.10791*J23)+(15157.28728*K23)+(12509.46131*L23)+(20219.25907*O23)+(32832.85351*P23)+(44695.0949*Q23)+(-15342.70531*R23)+(-4201.853217*S23)+(-25291.41891*T23)</f>
        <v>592379.75644050096</v>
      </c>
      <c r="V23">
        <f>M23-U23</f>
        <v>-55854.916440500994</v>
      </c>
      <c r="W23">
        <f>V23^2</f>
        <v>3119771690.5753484</v>
      </c>
    </row>
    <row r="24" spans="1:23">
      <c r="A24" t="s">
        <v>50</v>
      </c>
      <c r="B24" s="2">
        <v>45717</v>
      </c>
      <c r="C24" t="s">
        <v>27</v>
      </c>
      <c r="D24" t="s">
        <v>28</v>
      </c>
      <c r="E24">
        <v>33605.18</v>
      </c>
      <c r="F24">
        <v>9225</v>
      </c>
      <c r="G24">
        <v>0.159</v>
      </c>
      <c r="H24">
        <v>23</v>
      </c>
      <c r="I24">
        <v>88.4</v>
      </c>
      <c r="J24">
        <v>5.91</v>
      </c>
      <c r="K24">
        <v>0</v>
      </c>
      <c r="L24">
        <v>2.8</v>
      </c>
      <c r="M24">
        <v>697287.9</v>
      </c>
      <c r="N24">
        <v>128208.33</v>
      </c>
      <c r="O24">
        <f>IF($D24="High Street",1,0)</f>
        <v>0</v>
      </c>
      <c r="P24">
        <f>IF($D24="Mall",1,0)</f>
        <v>1</v>
      </c>
      <c r="Q24">
        <f>IF($D24="Airport",1,0)</f>
        <v>0</v>
      </c>
      <c r="R24">
        <f>IF($C24="North",1,0)</f>
        <v>0</v>
      </c>
      <c r="S24">
        <f>IF($C24="South",1,0)</f>
        <v>0</v>
      </c>
      <c r="T24">
        <f>IF($C24="East",1,0)</f>
        <v>0</v>
      </c>
      <c r="U24">
        <f>66915.46892+(1.209928492*E24)+(27.33619482*F24)+(-41243.14883*G24)+(3508.399163*H24)+(3062.210286*I24)+(-3438.10791*J24)+(15157.28728*K24)+(12509.46131*L24)+(20219.25907*O24)+(32832.85351*P24)+(44695.0949*Q24)+(-15342.70531*R24)+(-4201.853217*S24)+(-25291.41891*T24)</f>
        <v>752126.76769261854</v>
      </c>
      <c r="V24">
        <f>M24-U24</f>
        <v>-54838.867692618514</v>
      </c>
      <c r="W24">
        <f>V24^2</f>
        <v>3007301409.8085189</v>
      </c>
    </row>
    <row r="25" spans="1:23">
      <c r="A25" t="s">
        <v>72</v>
      </c>
      <c r="B25" s="2">
        <v>45717</v>
      </c>
      <c r="C25" t="s">
        <v>15</v>
      </c>
      <c r="D25" t="s">
        <v>21</v>
      </c>
      <c r="E25">
        <v>35203.230000000003</v>
      </c>
      <c r="F25">
        <v>6896</v>
      </c>
      <c r="G25">
        <v>3.2000000000000001E-2</v>
      </c>
      <c r="H25">
        <v>14</v>
      </c>
      <c r="I25">
        <v>80.8</v>
      </c>
      <c r="J25">
        <v>8.44</v>
      </c>
      <c r="K25">
        <v>1</v>
      </c>
      <c r="L25">
        <v>5</v>
      </c>
      <c r="M25">
        <v>607084.92000000004</v>
      </c>
      <c r="N25">
        <v>98558.49</v>
      </c>
      <c r="O25">
        <f>IF($D25="High Street",1,0)</f>
        <v>0</v>
      </c>
      <c r="P25">
        <f>IF($D25="Mall",1,0)</f>
        <v>0</v>
      </c>
      <c r="Q25">
        <f>IF($D25="Airport",1,0)</f>
        <v>1</v>
      </c>
      <c r="R25">
        <f>IF($C25="North",1,0)</f>
        <v>0</v>
      </c>
      <c r="S25">
        <f>IF($C25="South",1,0)</f>
        <v>0</v>
      </c>
      <c r="T25">
        <f>IF($C25="East",1,0)</f>
        <v>1</v>
      </c>
      <c r="U25">
        <f>66915.46892+(1.209928492*E25)+(27.33619482*F25)+(-41243.14883*G25)+(3508.399163*H25)+(3062.210286*I25)+(-3438.10791*J25)+(15157.28728*K25)+(12509.46131*L25)+(20219.25907*O25)+(32832.85351*P25)+(44695.0949*Q25)+(-15342.70531*R25)+(-4201.853217*S25)+(-25291.41891*T25)</f>
        <v>661334.29707398918</v>
      </c>
      <c r="V25">
        <f>M25-U25</f>
        <v>-54249.377073989133</v>
      </c>
      <c r="W25">
        <f>V25^2</f>
        <v>2942994912.9158578</v>
      </c>
    </row>
    <row r="26" spans="1:23">
      <c r="A26" t="s">
        <v>98</v>
      </c>
      <c r="B26" s="2">
        <v>45689</v>
      </c>
      <c r="C26" t="s">
        <v>24</v>
      </c>
      <c r="D26" t="s">
        <v>16</v>
      </c>
      <c r="E26">
        <v>46146.239999999998</v>
      </c>
      <c r="F26">
        <v>5804</v>
      </c>
      <c r="G26">
        <v>4.7E-2</v>
      </c>
      <c r="H26">
        <v>16</v>
      </c>
      <c r="I26">
        <v>86.9</v>
      </c>
      <c r="J26">
        <v>15.82</v>
      </c>
      <c r="K26">
        <v>0</v>
      </c>
      <c r="L26">
        <v>3.8</v>
      </c>
      <c r="M26">
        <v>538376</v>
      </c>
      <c r="N26">
        <v>87605.62</v>
      </c>
      <c r="O26">
        <f>IF($D26="High Street",1,0)</f>
        <v>0</v>
      </c>
      <c r="P26">
        <f>IF($D26="Mall",1,0)</f>
        <v>0</v>
      </c>
      <c r="Q26">
        <f>IF($D26="Airport",1,0)</f>
        <v>0</v>
      </c>
      <c r="R26">
        <f>IF($C26="North",1,0)</f>
        <v>0</v>
      </c>
      <c r="S26">
        <f>IF($C26="South",1,0)</f>
        <v>1</v>
      </c>
      <c r="T26">
        <f>IF($C26="East",1,0)</f>
        <v>0</v>
      </c>
      <c r="U26">
        <f>66915.46892+(1.209928492*E26)+(27.33619482*F26)+(-41243.14883*G26)+(3508.399163*H26)+(3062.210286*I26)+(-3438.10791*J26)+(15157.28728*K26)+(12509.46131*L26)+(20219.25907*O26)+(32832.85351*P26)+(44695.0949*Q26)+(-15342.70531*R26)+(-4201.853217*S26)+(-25291.41891*T26)</f>
        <v>590653.65932114015</v>
      </c>
      <c r="V26">
        <f>M26-U26</f>
        <v>-52277.659321140149</v>
      </c>
      <c r="W26">
        <f>V26^2</f>
        <v>2732953664.0971913</v>
      </c>
    </row>
    <row r="27" spans="1:23">
      <c r="A27" t="s">
        <v>55</v>
      </c>
      <c r="B27" s="2">
        <v>45658</v>
      </c>
      <c r="C27" t="s">
        <v>20</v>
      </c>
      <c r="D27" t="s">
        <v>18</v>
      </c>
      <c r="E27">
        <v>70276.28</v>
      </c>
      <c r="F27">
        <v>3043</v>
      </c>
      <c r="G27">
        <v>7.9000000000000001E-2</v>
      </c>
      <c r="H27">
        <v>9</v>
      </c>
      <c r="I27">
        <v>87.9</v>
      </c>
      <c r="J27">
        <v>3.77</v>
      </c>
      <c r="K27">
        <v>0</v>
      </c>
      <c r="L27">
        <v>4.4000000000000004</v>
      </c>
      <c r="M27">
        <v>527300.13</v>
      </c>
      <c r="N27">
        <v>84197.87</v>
      </c>
      <c r="O27">
        <f>IF($D27="High Street",1,0)</f>
        <v>1</v>
      </c>
      <c r="P27">
        <f>IF($D27="Mall",1,0)</f>
        <v>0</v>
      </c>
      <c r="Q27">
        <f>IF($D27="Airport",1,0)</f>
        <v>0</v>
      </c>
      <c r="R27">
        <f>IF($C27="North",1,0)</f>
        <v>1</v>
      </c>
      <c r="S27">
        <f>IF($C27="South",1,0)</f>
        <v>0</v>
      </c>
      <c r="T27">
        <f>IF($C27="East",1,0)</f>
        <v>0</v>
      </c>
      <c r="U27">
        <f>66915.46892+(1.209928492*E27)+(27.33619482*F27)+(-41243.14883*G27)+(3508.399163*H27)+(3062.210286*I27)+(-3438.10791*J27)+(15157.28728*K27)+(12509.46131*L27)+(20219.25907*O27)+(32832.85351*P27)+(44695.0949*Q27)+(-15342.70531*R27)+(-4201.853217*S27)+(-25291.41891*T27)</f>
        <v>579570.96779315977</v>
      </c>
      <c r="V27">
        <f>M27-U27</f>
        <v>-52270.837793159764</v>
      </c>
      <c r="W27">
        <f>V27^2</f>
        <v>2732240483.5988193</v>
      </c>
    </row>
    <row r="28" spans="1:23">
      <c r="A28" t="s">
        <v>30</v>
      </c>
      <c r="B28" s="2">
        <v>45689</v>
      </c>
      <c r="C28" t="s">
        <v>20</v>
      </c>
      <c r="D28" t="s">
        <v>16</v>
      </c>
      <c r="E28">
        <v>73771.91</v>
      </c>
      <c r="F28">
        <v>11695</v>
      </c>
      <c r="G28">
        <v>7.0000000000000007E-2</v>
      </c>
      <c r="H28">
        <v>25</v>
      </c>
      <c r="I28">
        <v>84.7</v>
      </c>
      <c r="J28">
        <v>0.62</v>
      </c>
      <c r="K28">
        <v>0</v>
      </c>
      <c r="L28">
        <v>3.9</v>
      </c>
      <c r="M28">
        <v>799477.76000000001</v>
      </c>
      <c r="N28">
        <v>164974.41</v>
      </c>
      <c r="O28">
        <f>IF($D28="High Street",1,0)</f>
        <v>0</v>
      </c>
      <c r="P28">
        <f>IF($D28="Mall",1,0)</f>
        <v>0</v>
      </c>
      <c r="Q28">
        <f>IF($D28="Airport",1,0)</f>
        <v>0</v>
      </c>
      <c r="R28">
        <f>IF($C28="North",1,0)</f>
        <v>1</v>
      </c>
      <c r="S28">
        <f>IF($C28="South",1,0)</f>
        <v>0</v>
      </c>
      <c r="T28">
        <f>IF($C28="East",1,0)</f>
        <v>0</v>
      </c>
      <c r="U28">
        <f>66915.46892+(1.209928492*E28)+(27.33619482*F28)+(-41243.14883*G28)+(3508.399163*H28)+(3062.210286*I28)+(-3438.10791*J28)+(15157.28728*K28)+(12509.46131*L28)+(20219.25907*O28)+(32832.85351*P28)+(44695.0949*Q28)+(-15342.70531*R28)+(-4201.853217*S28)+(-25291.41891*T28)</f>
        <v>851375.73993405979</v>
      </c>
      <c r="V28">
        <f>M28-U28</f>
        <v>-51897.979934059782</v>
      </c>
      <c r="W28">
        <f>V28^2</f>
        <v>2693400321.2360716</v>
      </c>
    </row>
    <row r="29" spans="1:23">
      <c r="A29" t="s">
        <v>34</v>
      </c>
      <c r="B29" s="2">
        <v>45658</v>
      </c>
      <c r="C29" t="s">
        <v>20</v>
      </c>
      <c r="D29" t="s">
        <v>28</v>
      </c>
      <c r="E29">
        <v>46624.05</v>
      </c>
      <c r="F29">
        <v>5104</v>
      </c>
      <c r="G29">
        <v>0.109</v>
      </c>
      <c r="H29">
        <v>11</v>
      </c>
      <c r="I29">
        <v>97.3</v>
      </c>
      <c r="J29">
        <v>3.49</v>
      </c>
      <c r="K29">
        <v>1</v>
      </c>
      <c r="L29">
        <v>4.7</v>
      </c>
      <c r="M29">
        <v>622811.74</v>
      </c>
      <c r="N29">
        <v>109978.35</v>
      </c>
      <c r="O29">
        <f>IF($D29="High Street",1,0)</f>
        <v>0</v>
      </c>
      <c r="P29">
        <f>IF($D29="Mall",1,0)</f>
        <v>1</v>
      </c>
      <c r="Q29">
        <f>IF($D29="Airport",1,0)</f>
        <v>0</v>
      </c>
      <c r="R29">
        <f>IF($C29="North",1,0)</f>
        <v>1</v>
      </c>
      <c r="S29">
        <f>IF($C29="South",1,0)</f>
        <v>0</v>
      </c>
      <c r="T29">
        <f>IF($C29="East",1,0)</f>
        <v>0</v>
      </c>
      <c r="U29">
        <f>66915.46892+(1.209928492*E29)+(27.33619482*F29)+(-41243.14883*G29)+(3508.399163*H29)+(3062.210286*I29)+(-3438.10791*J29)+(15157.28728*K29)+(12509.46131*L29)+(20219.25907*O29)+(32832.85351*P29)+(44695.0949*Q29)+(-15342.70531*R29)+(-4201.853217*S29)+(-25291.41891*T29)</f>
        <v>674344.02921814274</v>
      </c>
      <c r="V29">
        <f>M29-U29</f>
        <v>-51532.289218142745</v>
      </c>
      <c r="W29">
        <f>V29^2</f>
        <v>2655576832.0623112</v>
      </c>
    </row>
    <row r="30" spans="1:23">
      <c r="A30" t="s">
        <v>64</v>
      </c>
      <c r="B30" s="2">
        <v>45689</v>
      </c>
      <c r="C30" t="s">
        <v>15</v>
      </c>
      <c r="D30" t="s">
        <v>16</v>
      </c>
      <c r="E30">
        <v>32834.480000000003</v>
      </c>
      <c r="F30">
        <v>7576</v>
      </c>
      <c r="G30">
        <v>9.9000000000000005E-2</v>
      </c>
      <c r="H30">
        <v>15</v>
      </c>
      <c r="I30">
        <v>84.1</v>
      </c>
      <c r="J30">
        <v>3.48</v>
      </c>
      <c r="K30">
        <v>0</v>
      </c>
      <c r="L30">
        <v>5</v>
      </c>
      <c r="M30">
        <v>593637.14</v>
      </c>
      <c r="N30">
        <v>106648.14</v>
      </c>
      <c r="O30">
        <f>IF($D30="High Street",1,0)</f>
        <v>0</v>
      </c>
      <c r="P30">
        <f>IF($D30="Mall",1,0)</f>
        <v>0</v>
      </c>
      <c r="Q30">
        <f>IF($D30="Airport",1,0)</f>
        <v>0</v>
      </c>
      <c r="R30">
        <f>IF($C30="North",1,0)</f>
        <v>0</v>
      </c>
      <c r="S30">
        <f>IF($C30="South",1,0)</f>
        <v>0</v>
      </c>
      <c r="T30">
        <f>IF($C30="East",1,0)</f>
        <v>1</v>
      </c>
      <c r="U30">
        <f>66915.46892+(1.209928492*E30)+(27.33619482*F30)+(-41243.14883*G30)+(3508.399163*H30)+(3062.210286*I30)+(-3438.10791*J30)+(15157.28728*K30)+(12509.46131*L30)+(20219.25907*O30)+(32832.85351*P30)+(44695.0949*Q30)+(-15342.70531*R30)+(-4201.853217*S30)+(-25291.41891*T30)</f>
        <v>645107.92662495398</v>
      </c>
      <c r="V30">
        <f>M30-U30</f>
        <v>-51470.786624953966</v>
      </c>
      <c r="W30">
        <f>V30^2</f>
        <v>2649241875.7915401</v>
      </c>
    </row>
    <row r="31" spans="1:23">
      <c r="A31" t="s">
        <v>73</v>
      </c>
      <c r="B31" s="2">
        <v>45717</v>
      </c>
      <c r="C31" t="s">
        <v>15</v>
      </c>
      <c r="D31" t="s">
        <v>28</v>
      </c>
      <c r="E31">
        <v>37983.35</v>
      </c>
      <c r="F31">
        <v>9283</v>
      </c>
      <c r="G31">
        <v>0.14899999999999999</v>
      </c>
      <c r="H31">
        <v>19</v>
      </c>
      <c r="I31">
        <v>83.2</v>
      </c>
      <c r="J31">
        <v>3.82</v>
      </c>
      <c r="K31">
        <v>0</v>
      </c>
      <c r="L31">
        <v>3.7</v>
      </c>
      <c r="M31">
        <v>671868.59</v>
      </c>
      <c r="N31">
        <v>71003.28</v>
      </c>
      <c r="O31">
        <f>IF($D31="High Street",1,0)</f>
        <v>0</v>
      </c>
      <c r="P31">
        <f>IF($D31="Mall",1,0)</f>
        <v>1</v>
      </c>
      <c r="Q31">
        <f>IF($D31="Airport",1,0)</f>
        <v>0</v>
      </c>
      <c r="R31">
        <f>IF($C31="North",1,0)</f>
        <v>0</v>
      </c>
      <c r="S31">
        <f>IF($C31="South",1,0)</f>
        <v>0</v>
      </c>
      <c r="T31">
        <f>IF($C31="East",1,0)</f>
        <v>1</v>
      </c>
      <c r="U31">
        <f>66915.46892+(1.209928492*E31)+(27.33619482*F31)+(-41243.14883*G31)+(3508.399163*H31)+(3062.210286*I31)+(-3438.10791*J31)+(15157.28728*K31)+(12509.46131*L31)+(20219.25907*O31)+(32832.85351*P31)+(44695.0949*Q31)+(-15342.70531*R31)+(-4201.853217*S31)+(-25291.41891*T31)</f>
        <v>722617.62276799837</v>
      </c>
      <c r="V31">
        <f>M31-U31</f>
        <v>-50749.032767998404</v>
      </c>
      <c r="W31">
        <f>V31^2</f>
        <v>2575464326.8873758</v>
      </c>
    </row>
    <row r="32" spans="1:23">
      <c r="A32" t="s">
        <v>74</v>
      </c>
      <c r="B32" s="2">
        <v>45689</v>
      </c>
      <c r="C32" t="s">
        <v>15</v>
      </c>
      <c r="D32" t="s">
        <v>18</v>
      </c>
      <c r="E32">
        <v>62949.7</v>
      </c>
      <c r="F32">
        <v>9458</v>
      </c>
      <c r="G32">
        <v>0.17100000000000001</v>
      </c>
      <c r="H32">
        <v>19</v>
      </c>
      <c r="I32">
        <v>84.9</v>
      </c>
      <c r="J32">
        <v>5.09</v>
      </c>
      <c r="K32">
        <v>0</v>
      </c>
      <c r="L32">
        <v>3.3</v>
      </c>
      <c r="M32">
        <v>691288.19</v>
      </c>
      <c r="N32">
        <v>159074.14000000001</v>
      </c>
      <c r="O32">
        <f>IF($D32="High Street",1,0)</f>
        <v>1</v>
      </c>
      <c r="P32">
        <f>IF($D32="Mall",1,0)</f>
        <v>0</v>
      </c>
      <c r="Q32">
        <f>IF($D32="Airport",1,0)</f>
        <v>0</v>
      </c>
      <c r="R32">
        <f>IF($C32="North",1,0)</f>
        <v>0</v>
      </c>
      <c r="S32">
        <f>IF($C32="South",1,0)</f>
        <v>0</v>
      </c>
      <c r="T32">
        <f>IF($C32="East",1,0)</f>
        <v>1</v>
      </c>
      <c r="U32">
        <f>66915.46892+(1.209928492*E32)+(27.33619482*F32)+(-41243.14883*G32)+(3508.399163*H32)+(3062.210286*I32)+(-3438.10791*J32)+(15157.28728*K32)+(12509.46131*L32)+(20219.25907*O32)+(32832.85351*P32)+(44695.0949*Q32)+(-15342.70531*R32)+(-4201.853217*S32)+(-25291.41891*T32)</f>
        <v>739923.58726998232</v>
      </c>
      <c r="V32">
        <f>M32-U32</f>
        <v>-48635.397269982379</v>
      </c>
      <c r="W32">
        <f>V32^2</f>
        <v>2365401867.6090093</v>
      </c>
    </row>
    <row r="33" spans="1:23">
      <c r="A33" t="s">
        <v>52</v>
      </c>
      <c r="B33" s="2">
        <v>45658</v>
      </c>
      <c r="C33" t="s">
        <v>20</v>
      </c>
      <c r="D33" t="s">
        <v>18</v>
      </c>
      <c r="E33">
        <v>43896.13</v>
      </c>
      <c r="F33">
        <v>3853</v>
      </c>
      <c r="G33">
        <v>8.7999999999999995E-2</v>
      </c>
      <c r="H33">
        <v>13</v>
      </c>
      <c r="I33">
        <v>83</v>
      </c>
      <c r="J33">
        <v>6.8</v>
      </c>
      <c r="K33">
        <v>0</v>
      </c>
      <c r="L33">
        <v>4.4000000000000004</v>
      </c>
      <c r="M33">
        <v>509484.81</v>
      </c>
      <c r="N33">
        <v>85742.36</v>
      </c>
      <c r="O33">
        <f>IF($D33="High Street",1,0)</f>
        <v>1</v>
      </c>
      <c r="P33">
        <f>IF($D33="Mall",1,0)</f>
        <v>0</v>
      </c>
      <c r="Q33">
        <f>IF($D33="Airport",1,0)</f>
        <v>0</v>
      </c>
      <c r="R33">
        <f>IF($C33="North",1,0)</f>
        <v>1</v>
      </c>
      <c r="S33">
        <f>IF($C33="South",1,0)</f>
        <v>0</v>
      </c>
      <c r="T33">
        <f>IF($C33="East",1,0)</f>
        <v>0</v>
      </c>
      <c r="U33">
        <f>66915.46892+(1.209928492*E33)+(27.33619482*F33)+(-41243.14883*G33)+(3508.399163*H33)+(3062.210286*I33)+(-3438.10791*J33)+(15157.28728*K33)+(12509.46131*L33)+(20219.25907*O33)+(32832.85351*P33)+(44695.0949*Q33)+(-15342.70531*R33)+(-4201.853217*S33)+(-25291.41891*T33)</f>
        <v>558035.30143295601</v>
      </c>
      <c r="V33">
        <f>M33-U33</f>
        <v>-48550.491432956012</v>
      </c>
      <c r="W33">
        <f>V33^2</f>
        <v>2357150218.3815351</v>
      </c>
    </row>
    <row r="34" spans="1:23">
      <c r="A34" t="s">
        <v>52</v>
      </c>
      <c r="B34" s="2">
        <v>45717</v>
      </c>
      <c r="C34" t="s">
        <v>20</v>
      </c>
      <c r="D34" t="s">
        <v>18</v>
      </c>
      <c r="E34">
        <v>48396.13</v>
      </c>
      <c r="F34">
        <v>4423</v>
      </c>
      <c r="G34">
        <v>6.9000000000000006E-2</v>
      </c>
      <c r="H34">
        <v>15</v>
      </c>
      <c r="I34">
        <v>85.7</v>
      </c>
      <c r="J34">
        <v>1.88</v>
      </c>
      <c r="K34">
        <v>0</v>
      </c>
      <c r="L34">
        <v>3.9</v>
      </c>
      <c r="M34">
        <v>557487.26</v>
      </c>
      <c r="N34">
        <v>76432.19</v>
      </c>
      <c r="O34">
        <f>IF($D34="High Street",1,0)</f>
        <v>1</v>
      </c>
      <c r="P34">
        <f>IF($D34="Mall",1,0)</f>
        <v>0</v>
      </c>
      <c r="Q34">
        <f>IF($D34="Airport",1,0)</f>
        <v>0</v>
      </c>
      <c r="R34">
        <f>IF($C34="North",1,0)</f>
        <v>1</v>
      </c>
      <c r="S34">
        <f>IF($C34="South",1,0)</f>
        <v>0</v>
      </c>
      <c r="T34">
        <f>IF($C34="East",1,0)</f>
        <v>0</v>
      </c>
      <c r="U34">
        <f>66915.46892+(1.209928492*E34)+(27.33619482*F34)+(-41243.14883*G34)+(3508.399163*H34)+(3062.210286*I34)+(-3438.10791*J34)+(15157.28728*K34)+(12509.46131*L34)+(20219.25907*O34)+(32832.85351*P34)+(44695.0949*Q34)+(-15342.70531*R34)+(-4201.853217*S34)+(-25291.41891*T34)</f>
        <v>605790.75688252598</v>
      </c>
      <c r="V34">
        <f>M34-U34</f>
        <v>-48303.496882525971</v>
      </c>
      <c r="W34">
        <f>V34^2</f>
        <v>2333227811.0801964</v>
      </c>
    </row>
    <row r="35" spans="1:23">
      <c r="A35" t="s">
        <v>92</v>
      </c>
      <c r="B35" s="2">
        <v>45689</v>
      </c>
      <c r="C35" t="s">
        <v>24</v>
      </c>
      <c r="D35" t="s">
        <v>18</v>
      </c>
      <c r="E35">
        <v>34771.26</v>
      </c>
      <c r="F35">
        <v>4355</v>
      </c>
      <c r="G35">
        <v>5.0999999999999997E-2</v>
      </c>
      <c r="H35">
        <v>15</v>
      </c>
      <c r="I35">
        <v>87.9</v>
      </c>
      <c r="J35">
        <v>3.09</v>
      </c>
      <c r="K35">
        <v>0</v>
      </c>
      <c r="L35">
        <v>4</v>
      </c>
      <c r="M35">
        <v>555557.77</v>
      </c>
      <c r="N35">
        <v>86475.51</v>
      </c>
      <c r="O35">
        <f>IF($D35="High Street",1,0)</f>
        <v>1</v>
      </c>
      <c r="P35">
        <f>IF($D35="Mall",1,0)</f>
        <v>0</v>
      </c>
      <c r="Q35">
        <f>IF($D35="Airport",1,0)</f>
        <v>0</v>
      </c>
      <c r="R35">
        <f>IF($C35="North",1,0)</f>
        <v>0</v>
      </c>
      <c r="S35">
        <f>IF($C35="South",1,0)</f>
        <v>1</v>
      </c>
      <c r="T35">
        <f>IF($C35="East",1,0)</f>
        <v>0</v>
      </c>
      <c r="U35">
        <f>66915.46892+(1.209928492*E35)+(27.33619482*F35)+(-41243.14883*G35)+(3508.399163*H35)+(3062.210286*I35)+(-3438.10791*J35)+(15157.28728*K35)+(12509.46131*L35)+(20219.25907*O35)+(32832.85351*P35)+(44695.0949*Q35)+(-15342.70531*R35)+(-4201.853217*S35)+(-25291.41891*T35)</f>
        <v>603157.70418300992</v>
      </c>
      <c r="V35">
        <f>M35-U35</f>
        <v>-47599.9341830099</v>
      </c>
      <c r="W35">
        <f>V35^2</f>
        <v>2265753734.2268744</v>
      </c>
    </row>
    <row r="36" spans="1:23">
      <c r="A36" t="s">
        <v>79</v>
      </c>
      <c r="B36" s="2">
        <v>45658</v>
      </c>
      <c r="C36" t="s">
        <v>15</v>
      </c>
      <c r="D36" t="s">
        <v>18</v>
      </c>
      <c r="E36">
        <v>37324.230000000003</v>
      </c>
      <c r="F36">
        <v>5957</v>
      </c>
      <c r="G36">
        <v>7.0999999999999994E-2</v>
      </c>
      <c r="H36">
        <v>12</v>
      </c>
      <c r="I36">
        <v>85.9</v>
      </c>
      <c r="J36">
        <v>0.37</v>
      </c>
      <c r="K36">
        <v>0</v>
      </c>
      <c r="L36">
        <v>3.8</v>
      </c>
      <c r="M36">
        <v>570963.31000000006</v>
      </c>
      <c r="N36">
        <v>87342.25</v>
      </c>
      <c r="O36">
        <f>IF($D36="High Street",1,0)</f>
        <v>1</v>
      </c>
      <c r="P36">
        <f>IF($D36="Mall",1,0)</f>
        <v>0</v>
      </c>
      <c r="Q36">
        <f>IF($D36="Airport",1,0)</f>
        <v>0</v>
      </c>
      <c r="R36">
        <f>IF($C36="North",1,0)</f>
        <v>0</v>
      </c>
      <c r="S36">
        <f>IF($C36="South",1,0)</f>
        <v>0</v>
      </c>
      <c r="T36">
        <f>IF($C36="East",1,0)</f>
        <v>1</v>
      </c>
      <c r="U36">
        <f>66915.46892+(1.209928492*E36)+(27.33619482*F36)+(-41243.14883*G36)+(3508.399163*H36)+(3062.210286*I36)+(-3438.10791*J36)+(15157.28728*K36)+(12509.46131*L36)+(20219.25907*O36)+(32832.85351*P36)+(44695.0949*Q36)+(-15342.70531*R36)+(-4201.853217*S36)+(-25291.41891*T36)</f>
        <v>618324.9139494712</v>
      </c>
      <c r="V36">
        <f>M36-U36</f>
        <v>-47361.603949471144</v>
      </c>
      <c r="W36">
        <f>V36^2</f>
        <v>2243121528.6665606</v>
      </c>
    </row>
    <row r="37" spans="1:23">
      <c r="A37" t="s">
        <v>62</v>
      </c>
      <c r="B37" s="2">
        <v>45658</v>
      </c>
      <c r="C37" t="s">
        <v>24</v>
      </c>
      <c r="D37" t="s">
        <v>18</v>
      </c>
      <c r="E37">
        <v>41443.410000000003</v>
      </c>
      <c r="F37">
        <v>7455</v>
      </c>
      <c r="G37">
        <v>0.17499999999999999</v>
      </c>
      <c r="H37">
        <v>16</v>
      </c>
      <c r="I37">
        <v>90.1</v>
      </c>
      <c r="J37">
        <v>4.05</v>
      </c>
      <c r="K37">
        <v>0</v>
      </c>
      <c r="L37">
        <v>4</v>
      </c>
      <c r="M37">
        <v>650480.06000000006</v>
      </c>
      <c r="N37">
        <v>109012.07</v>
      </c>
      <c r="O37">
        <f>IF($D37="High Street",1,0)</f>
        <v>1</v>
      </c>
      <c r="P37">
        <f>IF($D37="Mall",1,0)</f>
        <v>0</v>
      </c>
      <c r="Q37">
        <f>IF($D37="Airport",1,0)</f>
        <v>0</v>
      </c>
      <c r="R37">
        <f>IF($C37="North",1,0)</f>
        <v>0</v>
      </c>
      <c r="S37">
        <f>IF($C37="South",1,0)</f>
        <v>1</v>
      </c>
      <c r="T37">
        <f>IF($C37="East",1,0)</f>
        <v>0</v>
      </c>
      <c r="U37">
        <f>66915.46892+(1.209928492*E37)+(27.33619482*F37)+(-41243.14883*G37)+(3508.399163*H37)+(3062.210286*I37)+(-3438.10791*J37)+(15157.28728*K37)+(12509.46131*L37)+(20219.25907*O37)+(32832.85351*P37)+(44695.0949*Q37)+(-15342.70531*R37)+(-4201.853217*S37)+(-25291.41891*T37)</f>
        <v>697803.26025658776</v>
      </c>
      <c r="V37">
        <f>M37-U37</f>
        <v>-47323.200256587705</v>
      </c>
      <c r="W37">
        <f>V37^2</f>
        <v>2239485282.5251026</v>
      </c>
    </row>
    <row r="38" spans="1:23">
      <c r="A38" t="s">
        <v>72</v>
      </c>
      <c r="B38" s="2">
        <v>45658</v>
      </c>
      <c r="C38" t="s">
        <v>15</v>
      </c>
      <c r="D38" t="s">
        <v>21</v>
      </c>
      <c r="E38">
        <v>22312.93</v>
      </c>
      <c r="F38">
        <v>5955</v>
      </c>
      <c r="G38">
        <v>0.123</v>
      </c>
      <c r="H38">
        <v>13</v>
      </c>
      <c r="I38">
        <v>84.2</v>
      </c>
      <c r="J38">
        <v>0.41</v>
      </c>
      <c r="K38">
        <v>1</v>
      </c>
      <c r="L38">
        <v>4.5999999999999996</v>
      </c>
      <c r="M38">
        <v>598904.9</v>
      </c>
      <c r="N38">
        <v>72861</v>
      </c>
      <c r="O38">
        <f>IF($D38="High Street",1,0)</f>
        <v>0</v>
      </c>
      <c r="P38">
        <f>IF($D38="Mall",1,0)</f>
        <v>0</v>
      </c>
      <c r="Q38">
        <f>IF($D38="Airport",1,0)</f>
        <v>1</v>
      </c>
      <c r="R38">
        <f>IF($C38="North",1,0)</f>
        <v>0</v>
      </c>
      <c r="S38">
        <f>IF($C38="South",1,0)</f>
        <v>0</v>
      </c>
      <c r="T38">
        <f>IF($C38="East",1,0)</f>
        <v>1</v>
      </c>
      <c r="U38">
        <f>66915.46892+(1.209928492*E38)+(27.33619482*F38)+(-41243.14883*G38)+(3508.399163*H38)+(3062.210286*I38)+(-3438.10791*J38)+(15157.28728*K38)+(12509.46131*L38)+(20219.25907*O38)+(32832.85351*P38)+(44695.0949*Q38)+(-15342.70531*R38)+(-4201.853217*S38)+(-25291.41891*T38)</f>
        <v>645768.80776711146</v>
      </c>
      <c r="V38">
        <f>M38-U38</f>
        <v>-46863.907767111436</v>
      </c>
      <c r="W38">
        <f>V38^2</f>
        <v>2196225851.2043276</v>
      </c>
    </row>
    <row r="39" spans="1:23">
      <c r="A39" t="s">
        <v>17</v>
      </c>
      <c r="B39" s="2">
        <v>45658</v>
      </c>
      <c r="C39" t="s">
        <v>15</v>
      </c>
      <c r="D39" t="s">
        <v>18</v>
      </c>
      <c r="E39">
        <v>48412.639999999999</v>
      </c>
      <c r="F39">
        <v>9545</v>
      </c>
      <c r="G39">
        <v>0.23100000000000001</v>
      </c>
      <c r="H39">
        <v>21</v>
      </c>
      <c r="I39">
        <v>97.6</v>
      </c>
      <c r="J39">
        <v>6.94</v>
      </c>
      <c r="K39">
        <v>1</v>
      </c>
      <c r="L39">
        <v>4.2</v>
      </c>
      <c r="M39">
        <v>741341.44</v>
      </c>
      <c r="N39">
        <v>119208.17</v>
      </c>
      <c r="O39">
        <f>IF($D39="High Street",1,0)</f>
        <v>1</v>
      </c>
      <c r="P39">
        <f>IF($D39="Mall",1,0)</f>
        <v>0</v>
      </c>
      <c r="Q39">
        <f>IF($D39="Airport",1,0)</f>
        <v>0</v>
      </c>
      <c r="R39">
        <f>IF($C39="North",1,0)</f>
        <v>0</v>
      </c>
      <c r="S39">
        <f>IF($C39="South",1,0)</f>
        <v>0</v>
      </c>
      <c r="T39">
        <f>IF($C39="East",1,0)</f>
        <v>1</v>
      </c>
      <c r="U39">
        <f>66915.46892+(1.209928492*E39)+(27.33619482*F39)+(-41243.14883*G39)+(3508.399163*H39)+(3062.210286*I39)+(-3438.10791*J39)+(15157.28728*K39)+(12509.46131*L39)+(20219.25907*O39)+(32832.85351*P39)+(44695.0949*Q39)+(-15342.70531*R39)+(-4201.853217*S39)+(-25291.41891*T39)</f>
        <v>788200.61598930892</v>
      </c>
      <c r="V39">
        <f>M39-U39</f>
        <v>-46859.175989308977</v>
      </c>
      <c r="W39">
        <f>V39^2</f>
        <v>2195782374.3970308</v>
      </c>
    </row>
    <row r="40" spans="1:23">
      <c r="A40" t="s">
        <v>40</v>
      </c>
      <c r="B40" s="2">
        <v>45689</v>
      </c>
      <c r="C40" t="s">
        <v>15</v>
      </c>
      <c r="D40" t="s">
        <v>16</v>
      </c>
      <c r="E40">
        <v>53762.92</v>
      </c>
      <c r="F40">
        <v>6821</v>
      </c>
      <c r="G40">
        <v>6.6000000000000003E-2</v>
      </c>
      <c r="H40">
        <v>19</v>
      </c>
      <c r="I40">
        <v>94.6</v>
      </c>
      <c r="J40">
        <v>7.03</v>
      </c>
      <c r="K40">
        <v>0</v>
      </c>
      <c r="L40">
        <v>4.4000000000000004</v>
      </c>
      <c r="M40">
        <v>630829.93999999994</v>
      </c>
      <c r="N40">
        <v>117090.02</v>
      </c>
      <c r="O40">
        <f>IF($D40="High Street",1,0)</f>
        <v>0</v>
      </c>
      <c r="P40">
        <f>IF($D40="Mall",1,0)</f>
        <v>0</v>
      </c>
      <c r="Q40">
        <f>IF($D40="Airport",1,0)</f>
        <v>0</v>
      </c>
      <c r="R40">
        <f>IF($C40="North",1,0)</f>
        <v>0</v>
      </c>
      <c r="S40">
        <f>IF($C40="South",1,0)</f>
        <v>0</v>
      </c>
      <c r="T40">
        <f>IF($C40="East",1,0)</f>
        <v>1</v>
      </c>
      <c r="U40">
        <f>66915.46892+(1.209928492*E40)+(27.33619482*F40)+(-41243.14883*G40)+(3508.399163*H40)+(3062.210286*I40)+(-3438.10791*J40)+(15157.28728*K40)+(12509.46131*L40)+(20219.25907*O40)+(32832.85351*P40)+(44695.0949*Q40)+(-15342.70531*R40)+(-4201.853217*S40)+(-25291.41891*T40)</f>
        <v>677627.8840848566</v>
      </c>
      <c r="V40">
        <f>M40-U40</f>
        <v>-46797.944084856659</v>
      </c>
      <c r="W40">
        <f>V40^2</f>
        <v>2190047570.5693703</v>
      </c>
    </row>
    <row r="41" spans="1:23">
      <c r="A41" t="s">
        <v>98</v>
      </c>
      <c r="B41" s="2">
        <v>45748</v>
      </c>
      <c r="C41" t="s">
        <v>24</v>
      </c>
      <c r="D41" t="s">
        <v>16</v>
      </c>
      <c r="E41">
        <v>60684.05</v>
      </c>
      <c r="F41">
        <v>6399</v>
      </c>
      <c r="G41">
        <v>7.4999999999999997E-2</v>
      </c>
      <c r="H41">
        <v>16</v>
      </c>
      <c r="I41">
        <v>99</v>
      </c>
      <c r="J41">
        <v>3.82</v>
      </c>
      <c r="K41">
        <v>0</v>
      </c>
      <c r="L41">
        <v>3.5</v>
      </c>
      <c r="M41">
        <v>651164.18000000005</v>
      </c>
      <c r="N41">
        <v>109466.5</v>
      </c>
      <c r="O41">
        <f>IF($D41="High Street",1,0)</f>
        <v>0</v>
      </c>
      <c r="P41">
        <f>IF($D41="Mall",1,0)</f>
        <v>0</v>
      </c>
      <c r="Q41">
        <f>IF($D41="Airport",1,0)</f>
        <v>0</v>
      </c>
      <c r="R41">
        <f>IF($C41="North",1,0)</f>
        <v>0</v>
      </c>
      <c r="S41">
        <f>IF($C41="South",1,0)</f>
        <v>1</v>
      </c>
      <c r="T41">
        <f>IF($C41="East",1,0)</f>
        <v>0</v>
      </c>
      <c r="U41">
        <f>66915.46892+(1.209928492*E41)+(27.33619482*F41)+(-41243.14883*G41)+(3508.399163*H41)+(3062.210286*I41)+(-3438.10791*J41)+(15157.28728*K41)+(12509.46131*L41)+(20219.25907*O41)+(32832.85351*P41)+(44695.0949*Q41)+(-15342.70531*R41)+(-4201.853217*S41)+(-25291.41891*T41)</f>
        <v>697910.79858968267</v>
      </c>
      <c r="V41">
        <f>M41-U41</f>
        <v>-46746.618589682621</v>
      </c>
      <c r="W41">
        <f>V41^2</f>
        <v>2185246349.5692606</v>
      </c>
    </row>
    <row r="42" spans="1:23">
      <c r="A42" t="s">
        <v>97</v>
      </c>
      <c r="B42" s="2">
        <v>45658</v>
      </c>
      <c r="C42" t="s">
        <v>20</v>
      </c>
      <c r="D42" t="s">
        <v>28</v>
      </c>
      <c r="E42">
        <v>40647.67</v>
      </c>
      <c r="F42">
        <v>8252</v>
      </c>
      <c r="G42">
        <v>0.14099999999999999</v>
      </c>
      <c r="H42">
        <v>22</v>
      </c>
      <c r="I42">
        <v>88.2</v>
      </c>
      <c r="J42">
        <v>5.07</v>
      </c>
      <c r="K42">
        <v>1</v>
      </c>
      <c r="L42">
        <v>4.0999999999999996</v>
      </c>
      <c r="M42">
        <v>703812.99</v>
      </c>
      <c r="N42">
        <v>133577.98000000001</v>
      </c>
      <c r="O42">
        <f>IF($D42="High Street",1,0)</f>
        <v>0</v>
      </c>
      <c r="P42">
        <f>IF($D42="Mall",1,0)</f>
        <v>1</v>
      </c>
      <c r="Q42">
        <f>IF($D42="Airport",1,0)</f>
        <v>0</v>
      </c>
      <c r="R42">
        <f>IF($C42="North",1,0)</f>
        <v>1</v>
      </c>
      <c r="S42">
        <f>IF($C42="South",1,0)</f>
        <v>0</v>
      </c>
      <c r="T42">
        <f>IF($C42="East",1,0)</f>
        <v>0</v>
      </c>
      <c r="U42">
        <f>66915.46892+(1.209928492*E42)+(27.33619482*F42)+(-41243.14883*G42)+(3508.399163*H42)+(3062.210286*I42)+(-3438.10791*J42)+(15157.28728*K42)+(12509.46131*L42)+(20219.25907*O42)+(32832.85351*P42)+(44695.0949*Q42)+(-15342.70531*R42)+(-4201.853217*S42)+(-25291.41891*T42)</f>
        <v>749635.98721452372</v>
      </c>
      <c r="V42">
        <f>M42-U42</f>
        <v>-45822.997214523726</v>
      </c>
      <c r="W42">
        <f>V42^2</f>
        <v>2099747073.7222493</v>
      </c>
    </row>
    <row r="43" spans="1:23">
      <c r="A43" t="s">
        <v>22</v>
      </c>
      <c r="B43" s="2">
        <v>45689</v>
      </c>
      <c r="C43" t="s">
        <v>15</v>
      </c>
      <c r="D43" t="s">
        <v>16</v>
      </c>
      <c r="E43">
        <v>55716.82</v>
      </c>
      <c r="F43">
        <v>10054</v>
      </c>
      <c r="G43">
        <v>0.14599999999999999</v>
      </c>
      <c r="H43">
        <v>24</v>
      </c>
      <c r="I43">
        <v>84.9</v>
      </c>
      <c r="J43">
        <v>1.06</v>
      </c>
      <c r="K43">
        <v>0</v>
      </c>
      <c r="L43">
        <v>4.3</v>
      </c>
      <c r="M43">
        <v>726606.28</v>
      </c>
      <c r="N43">
        <v>122729.29</v>
      </c>
      <c r="O43">
        <f>IF($D43="High Street",1,0)</f>
        <v>0</v>
      </c>
      <c r="P43">
        <f>IF($D43="Mall",1,0)</f>
        <v>0</v>
      </c>
      <c r="Q43">
        <f>IF($D43="Airport",1,0)</f>
        <v>0</v>
      </c>
      <c r="R43">
        <f>IF($C43="North",1,0)</f>
        <v>0</v>
      </c>
      <c r="S43">
        <f>IF($C43="South",1,0)</f>
        <v>0</v>
      </c>
      <c r="T43">
        <f>IF($C43="East",1,0)</f>
        <v>1</v>
      </c>
      <c r="U43">
        <f>66915.46892+(1.209928492*E43)+(27.33619482*F43)+(-41243.14883*G43)+(3508.399163*H43)+(3062.210286*I43)+(-3438.10791*J43)+(15157.28728*K43)+(12509.46131*L43)+(20219.25907*O43)+(32832.85351*P43)+(44695.0949*Q43)+(-15342.70531*R43)+(-4201.853217*S43)+(-25291.41891*T43)</f>
        <v>772183.54344453546</v>
      </c>
      <c r="V43">
        <f>M43-U43</f>
        <v>-45577.263444535434</v>
      </c>
      <c r="W43">
        <f>V43^2</f>
        <v>2077286943.092586</v>
      </c>
    </row>
    <row r="44" spans="1:23">
      <c r="A44" t="s">
        <v>14</v>
      </c>
      <c r="B44" s="2">
        <v>45689</v>
      </c>
      <c r="C44" t="s">
        <v>15</v>
      </c>
      <c r="D44" t="s">
        <v>16</v>
      </c>
      <c r="E44">
        <v>43827.89</v>
      </c>
      <c r="F44">
        <v>8487</v>
      </c>
      <c r="G44">
        <v>0.16800000000000001</v>
      </c>
      <c r="H44">
        <v>23</v>
      </c>
      <c r="I44">
        <v>84.4</v>
      </c>
      <c r="J44">
        <v>4.3099999999999996</v>
      </c>
      <c r="K44">
        <v>0</v>
      </c>
      <c r="L44">
        <v>2.8</v>
      </c>
      <c r="M44">
        <v>634436</v>
      </c>
      <c r="N44">
        <v>106130.54</v>
      </c>
      <c r="O44">
        <f>IF($D44="High Street",1,0)</f>
        <v>0</v>
      </c>
      <c r="P44">
        <f>IF($D44="Mall",1,0)</f>
        <v>0</v>
      </c>
      <c r="Q44">
        <f>IF($D44="Airport",1,0)</f>
        <v>0</v>
      </c>
      <c r="R44">
        <f>IF($C44="North",1,0)</f>
        <v>0</v>
      </c>
      <c r="S44">
        <f>IF($C44="South",1,0)</f>
        <v>0</v>
      </c>
      <c r="T44">
        <f>IF($C44="East",1,0)</f>
        <v>1</v>
      </c>
      <c r="U44">
        <f>66915.46892+(1.209928492*E44)+(27.33619482*F44)+(-41243.14883*G44)+(3508.399163*H44)+(3062.210286*I44)+(-3438.10791*J44)+(15157.28728*K44)+(12509.46131*L44)+(20219.25907*O44)+(32832.85351*P44)+(44695.0949*Q44)+(-15342.70531*R44)+(-4201.853217*S44)+(-25291.41891*T44)</f>
        <v>679078.07476244192</v>
      </c>
      <c r="V44">
        <f>M44-U44</f>
        <v>-44642.074762441916</v>
      </c>
      <c r="W44">
        <f>V44^2</f>
        <v>1992914839.0954535</v>
      </c>
    </row>
    <row r="45" spans="1:23">
      <c r="A45" t="s">
        <v>72</v>
      </c>
      <c r="B45" s="2">
        <v>45748</v>
      </c>
      <c r="C45" t="s">
        <v>15</v>
      </c>
      <c r="D45" t="s">
        <v>21</v>
      </c>
      <c r="E45">
        <v>64104.28</v>
      </c>
      <c r="F45">
        <v>6015</v>
      </c>
      <c r="G45">
        <v>0.127</v>
      </c>
      <c r="H45">
        <v>15</v>
      </c>
      <c r="I45">
        <v>88.7</v>
      </c>
      <c r="J45">
        <v>0.78</v>
      </c>
      <c r="K45">
        <v>0</v>
      </c>
      <c r="L45">
        <v>4</v>
      </c>
      <c r="M45">
        <v>650795.49</v>
      </c>
      <c r="N45">
        <v>103035.89</v>
      </c>
      <c r="O45">
        <f>IF($D45="High Street",1,0)</f>
        <v>0</v>
      </c>
      <c r="P45">
        <f>IF($D45="Mall",1,0)</f>
        <v>0</v>
      </c>
      <c r="Q45">
        <f>IF($D45="Airport",1,0)</f>
        <v>1</v>
      </c>
      <c r="R45">
        <f>IF($C45="North",1,0)</f>
        <v>0</v>
      </c>
      <c r="S45">
        <f>IF($C45="South",1,0)</f>
        <v>0</v>
      </c>
      <c r="T45">
        <f>IF($C45="East",1,0)</f>
        <v>1</v>
      </c>
      <c r="U45">
        <f>66915.46892+(1.209928492*E45)+(27.33619482*F45)+(-41243.14883*G45)+(3508.399163*H45)+(3062.210286*I45)+(-3438.10791*J45)+(15157.28728*K45)+(12509.46131*L45)+(20219.25907*O45)+(32832.85351*P45)+(44695.0949*Q45)+(-15342.70531*R45)+(-4201.853217*S45)+(-25291.41891*T45)</f>
        <v>694670.23256543581</v>
      </c>
      <c r="V45">
        <f>M45-U45</f>
        <v>-43874.742565435823</v>
      </c>
      <c r="W45">
        <f>V45^2</f>
        <v>1924993035.1832659</v>
      </c>
    </row>
    <row r="46" spans="1:23">
      <c r="A46" t="s">
        <v>26</v>
      </c>
      <c r="B46" s="2">
        <v>45658</v>
      </c>
      <c r="C46" t="s">
        <v>27</v>
      </c>
      <c r="D46" t="s">
        <v>28</v>
      </c>
      <c r="E46">
        <v>57696.69</v>
      </c>
      <c r="F46">
        <v>10218</v>
      </c>
      <c r="G46">
        <v>0.121</v>
      </c>
      <c r="H46">
        <v>25</v>
      </c>
      <c r="I46">
        <v>94.8</v>
      </c>
      <c r="J46">
        <v>2.99</v>
      </c>
      <c r="K46">
        <v>0</v>
      </c>
      <c r="L46">
        <v>3.5</v>
      </c>
      <c r="M46">
        <v>811771.14</v>
      </c>
      <c r="N46">
        <v>148756.24</v>
      </c>
      <c r="O46">
        <f>IF($D46="High Street",1,0)</f>
        <v>0</v>
      </c>
      <c r="P46">
        <f>IF($D46="Mall",1,0)</f>
        <v>1</v>
      </c>
      <c r="Q46">
        <f>IF($D46="Airport",1,0)</f>
        <v>0</v>
      </c>
      <c r="R46">
        <f>IF($C46="North",1,0)</f>
        <v>0</v>
      </c>
      <c r="S46">
        <f>IF($C46="South",1,0)</f>
        <v>0</v>
      </c>
      <c r="T46">
        <f>IF($C46="East",1,0)</f>
        <v>0</v>
      </c>
      <c r="U46">
        <f>66915.46892+(1.209928492*E46)+(27.33619482*F46)+(-41243.14883*G46)+(3508.399163*H46)+(3062.210286*I46)+(-3438.10791*J46)+(15157.28728*K46)+(12509.46131*L46)+(20219.25907*O46)+(32832.85351*P46)+(44695.0949*Q46)+(-15342.70531*R46)+(-4201.853217*S46)+(-25291.41891*T46)</f>
        <v>855398.69533932151</v>
      </c>
      <c r="V46">
        <f>M46-U46</f>
        <v>-43627.555339321494</v>
      </c>
      <c r="W46">
        <f>V46^2</f>
        <v>1903363584.8855593</v>
      </c>
    </row>
    <row r="47" spans="1:23">
      <c r="A47" t="s">
        <v>50</v>
      </c>
      <c r="B47" s="2">
        <v>45748</v>
      </c>
      <c r="C47" t="s">
        <v>27</v>
      </c>
      <c r="D47" t="s">
        <v>28</v>
      </c>
      <c r="E47">
        <v>25990.54</v>
      </c>
      <c r="F47">
        <v>9249</v>
      </c>
      <c r="G47">
        <v>0.13900000000000001</v>
      </c>
      <c r="H47">
        <v>23</v>
      </c>
      <c r="I47">
        <v>92.5</v>
      </c>
      <c r="J47">
        <v>6.37</v>
      </c>
      <c r="K47">
        <v>0</v>
      </c>
      <c r="L47">
        <v>3.3</v>
      </c>
      <c r="M47">
        <v>718074.79</v>
      </c>
      <c r="N47">
        <v>115819.87</v>
      </c>
      <c r="O47">
        <f>IF($D47="High Street",1,0)</f>
        <v>0</v>
      </c>
      <c r="P47">
        <f>IF($D47="Mall",1,0)</f>
        <v>1</v>
      </c>
      <c r="Q47">
        <f>IF($D47="Airport",1,0)</f>
        <v>0</v>
      </c>
      <c r="R47">
        <f>IF($C47="North",1,0)</f>
        <v>0</v>
      </c>
      <c r="S47">
        <f>IF($C47="South",1,0)</f>
        <v>0</v>
      </c>
      <c r="T47">
        <f>IF($C47="East",1,0)</f>
        <v>0</v>
      </c>
      <c r="U47">
        <f>66915.46892+(1.209928492*E47)+(27.33619482*F47)+(-41243.14883*G47)+(3508.399163*H47)+(3062.210286*I47)+(-3438.10791*J47)+(15157.28728*K47)+(12509.46131*L47)+(20219.25907*O47)+(32832.85351*P47)+(44695.0949*Q47)+(-15342.70531*R47)+(-4201.853217*S47)+(-25291.41891*T47)</f>
        <v>761622.79264157568</v>
      </c>
      <c r="V47">
        <f>M47-U47</f>
        <v>-43548.002641575644</v>
      </c>
      <c r="W47">
        <f>V47^2</f>
        <v>1896428534.0706792</v>
      </c>
    </row>
    <row r="48" spans="1:23">
      <c r="A48" t="s">
        <v>38</v>
      </c>
      <c r="B48" s="2">
        <v>45658</v>
      </c>
      <c r="C48" t="s">
        <v>27</v>
      </c>
      <c r="D48" t="s">
        <v>18</v>
      </c>
      <c r="E48">
        <v>70040.31</v>
      </c>
      <c r="F48">
        <v>9175</v>
      </c>
      <c r="G48">
        <v>0.107</v>
      </c>
      <c r="H48">
        <v>23</v>
      </c>
      <c r="I48">
        <v>95.1</v>
      </c>
      <c r="J48">
        <v>6.08</v>
      </c>
      <c r="K48">
        <v>1</v>
      </c>
      <c r="L48">
        <v>3.4</v>
      </c>
      <c r="M48">
        <v>784502.68</v>
      </c>
      <c r="N48">
        <v>129519.72</v>
      </c>
      <c r="O48">
        <f>IF($D48="High Street",1,0)</f>
        <v>1</v>
      </c>
      <c r="P48">
        <f>IF($D48="Mall",1,0)</f>
        <v>0</v>
      </c>
      <c r="Q48">
        <f>IF($D48="Airport",1,0)</f>
        <v>0</v>
      </c>
      <c r="R48">
        <f>IF($C48="North",1,0)</f>
        <v>0</v>
      </c>
      <c r="S48">
        <f>IF($C48="South",1,0)</f>
        <v>0</v>
      </c>
      <c r="T48">
        <f>IF($C48="East",1,0)</f>
        <v>0</v>
      </c>
      <c r="U48">
        <f>66915.46892+(1.209928492*E48)+(27.33619482*F48)+(-41243.14883*G48)+(3508.399163*H48)+(3062.210286*I48)+(-3438.10791*J48)+(15157.28728*K48)+(12509.46131*L48)+(20219.25907*O48)+(32832.85351*P48)+(44695.0949*Q48)+(-15342.70531*R48)+(-4201.853217*S48)+(-25291.41891*T48)</f>
        <v>826970.20378500258</v>
      </c>
      <c r="V48">
        <f>M48-U48</f>
        <v>-42467.52378500253</v>
      </c>
      <c r="W48">
        <f>V48^2</f>
        <v>1803490576.4297557</v>
      </c>
    </row>
    <row r="49" spans="1:23">
      <c r="A49" t="s">
        <v>42</v>
      </c>
      <c r="B49" s="2">
        <v>45658</v>
      </c>
      <c r="C49" t="s">
        <v>27</v>
      </c>
      <c r="D49" t="s">
        <v>28</v>
      </c>
      <c r="E49">
        <v>60881.01</v>
      </c>
      <c r="F49">
        <v>5410</v>
      </c>
      <c r="G49">
        <v>0.17899999999999999</v>
      </c>
      <c r="H49">
        <v>15</v>
      </c>
      <c r="I49">
        <v>83.9</v>
      </c>
      <c r="J49">
        <v>5.24</v>
      </c>
      <c r="K49">
        <v>0</v>
      </c>
      <c r="L49">
        <v>4.5999999999999996</v>
      </c>
      <c r="M49">
        <v>621369.57999999996</v>
      </c>
      <c r="N49">
        <v>85493.64</v>
      </c>
      <c r="O49">
        <f>IF($D49="High Street",1,0)</f>
        <v>0</v>
      </c>
      <c r="P49">
        <f>IF($D49="Mall",1,0)</f>
        <v>1</v>
      </c>
      <c r="Q49">
        <f>IF($D49="Airport",1,0)</f>
        <v>0</v>
      </c>
      <c r="R49">
        <f>IF($C49="North",1,0)</f>
        <v>0</v>
      </c>
      <c r="S49">
        <f>IF($C49="South",1,0)</f>
        <v>0</v>
      </c>
      <c r="T49">
        <f>IF($C49="East",1,0)</f>
        <v>0</v>
      </c>
      <c r="U49">
        <f>66915.46892+(1.209928492*E49)+(27.33619482*F49)+(-41243.14883*G49)+(3508.399163*H49)+(3062.210286*I49)+(-3438.10791*J49)+(15157.28728*K49)+(12509.46131*L49)+(20219.25907*O49)+(32832.85351*P49)+(44695.0949*Q49)+(-15342.70531*R49)+(-4201.853217*S49)+(-25291.41891*T49)</f>
        <v>662989.54840436694</v>
      </c>
      <c r="V49">
        <f>M49-U49</f>
        <v>-41619.968404366984</v>
      </c>
      <c r="W49">
        <f>V49^2</f>
        <v>1732221769.9805059</v>
      </c>
    </row>
    <row r="50" spans="1:23">
      <c r="A50" t="s">
        <v>70</v>
      </c>
      <c r="B50" s="2">
        <v>45658</v>
      </c>
      <c r="C50" t="s">
        <v>27</v>
      </c>
      <c r="D50" t="s">
        <v>16</v>
      </c>
      <c r="E50">
        <v>81796.740000000005</v>
      </c>
      <c r="F50">
        <v>6177</v>
      </c>
      <c r="G50">
        <v>0.16400000000000001</v>
      </c>
      <c r="H50">
        <v>14</v>
      </c>
      <c r="I50">
        <v>87.9</v>
      </c>
      <c r="J50">
        <v>0.53</v>
      </c>
      <c r="K50">
        <v>0</v>
      </c>
      <c r="L50">
        <v>3.2</v>
      </c>
      <c r="M50">
        <v>643428.85</v>
      </c>
      <c r="N50">
        <v>94477.63</v>
      </c>
      <c r="O50">
        <f>IF($D50="High Street",1,0)</f>
        <v>0</v>
      </c>
      <c r="P50">
        <f>IF($D50="Mall",1,0)</f>
        <v>0</v>
      </c>
      <c r="Q50">
        <f>IF($D50="Airport",1,0)</f>
        <v>0</v>
      </c>
      <c r="R50">
        <f>IF($C50="North",1,0)</f>
        <v>0</v>
      </c>
      <c r="S50">
        <f>IF($C50="South",1,0)</f>
        <v>0</v>
      </c>
      <c r="T50">
        <f>IF($C50="East",1,0)</f>
        <v>0</v>
      </c>
      <c r="U50">
        <f>66915.46892+(1.209928492*E50)+(27.33619482*F50)+(-41243.14883*G50)+(3508.399163*H50)+(3062.210286*I50)+(-3438.10791*J50)+(15157.28728*K50)+(12509.46131*L50)+(20219.25907*O50)+(32832.85351*P50)+(44695.0949*Q50)+(-15342.70531*R50)+(-4201.853217*S50)+(-25291.41891*T50)</f>
        <v>684469.42561483616</v>
      </c>
      <c r="V50">
        <f>M50-U50</f>
        <v>-41040.575614836183</v>
      </c>
      <c r="W50">
        <f>V50^2</f>
        <v>1684328846.7970865</v>
      </c>
    </row>
    <row r="51" spans="1:23">
      <c r="A51" t="s">
        <v>62</v>
      </c>
      <c r="B51" s="2">
        <v>45748</v>
      </c>
      <c r="C51" t="s">
        <v>24</v>
      </c>
      <c r="D51" t="s">
        <v>18</v>
      </c>
      <c r="E51">
        <v>66870.62</v>
      </c>
      <c r="F51">
        <v>6055</v>
      </c>
      <c r="G51">
        <v>7.4999999999999997E-2</v>
      </c>
      <c r="H51">
        <v>19</v>
      </c>
      <c r="I51">
        <v>93.8</v>
      </c>
      <c r="J51">
        <v>0.54</v>
      </c>
      <c r="K51">
        <v>0</v>
      </c>
      <c r="L51">
        <v>4.3</v>
      </c>
      <c r="M51">
        <v>692008.64</v>
      </c>
      <c r="N51">
        <v>116337.87</v>
      </c>
      <c r="O51">
        <f>IF($D51="High Street",1,0)</f>
        <v>1</v>
      </c>
      <c r="P51">
        <f>IF($D51="Mall",1,0)</f>
        <v>0</v>
      </c>
      <c r="Q51">
        <f>IF($D51="Airport",1,0)</f>
        <v>0</v>
      </c>
      <c r="R51">
        <f>IF($C51="North",1,0)</f>
        <v>0</v>
      </c>
      <c r="S51">
        <f>IF($C51="South",1,0)</f>
        <v>1</v>
      </c>
      <c r="T51">
        <f>IF($C51="East",1,0)</f>
        <v>0</v>
      </c>
      <c r="U51">
        <f>66915.46892+(1.209928492*E51)+(27.33619482*F51)+(-41243.14883*G51)+(3508.399163*H51)+(3062.210286*I51)+(-3438.10791*J51)+(15157.28728*K51)+(12509.46131*L51)+(20219.25907*O51)+(32832.85351*P51)+(44695.0949*Q51)+(-15342.70531*R51)+(-4201.853217*S51)+(-25291.41891*T51)</f>
        <v>732097.98094695515</v>
      </c>
      <c r="V51">
        <f>M51-U51</f>
        <v>-40089.340946955141</v>
      </c>
      <c r="W51">
        <f>V51^2</f>
        <v>1607155257.5612142</v>
      </c>
    </row>
    <row r="52" spans="1:23">
      <c r="A52" t="s">
        <v>53</v>
      </c>
      <c r="B52" s="2">
        <v>45689</v>
      </c>
      <c r="C52" t="s">
        <v>24</v>
      </c>
      <c r="D52" t="s">
        <v>18</v>
      </c>
      <c r="E52">
        <v>44747</v>
      </c>
      <c r="F52">
        <v>11076</v>
      </c>
      <c r="G52">
        <v>0.17599999999999999</v>
      </c>
      <c r="H52">
        <v>27</v>
      </c>
      <c r="I52">
        <v>98.3</v>
      </c>
      <c r="J52">
        <v>0.54</v>
      </c>
      <c r="K52">
        <v>0</v>
      </c>
      <c r="L52">
        <v>4.4000000000000004</v>
      </c>
      <c r="M52">
        <v>842439.67</v>
      </c>
      <c r="N52">
        <v>169983.63</v>
      </c>
      <c r="O52">
        <f>IF($D52="High Street",1,0)</f>
        <v>1</v>
      </c>
      <c r="P52">
        <f>IF($D52="Mall",1,0)</f>
        <v>0</v>
      </c>
      <c r="Q52">
        <f>IF($D52="Airport",1,0)</f>
        <v>0</v>
      </c>
      <c r="R52">
        <f>IF($C52="North",1,0)</f>
        <v>0</v>
      </c>
      <c r="S52">
        <f>IF($C52="South",1,0)</f>
        <v>1</v>
      </c>
      <c r="T52">
        <f>IF($C52="East",1,0)</f>
        <v>0</v>
      </c>
      <c r="U52">
        <f>66915.46892+(1.209928492*E52)+(27.33619482*F52)+(-41243.14883*G52)+(3508.399163*H52)+(3062.210286*I52)+(-3438.10791*J52)+(15157.28728*K52)+(12509.46131*L52)+(20219.25907*O52)+(32832.85351*P52)+(44695.0949*Q52)+(-15342.70531*R52)+(-4201.853217*S52)+(-25291.41891*T52)</f>
        <v>881517.54464416404</v>
      </c>
      <c r="V52">
        <f>M52-U52</f>
        <v>-39077.874644163996</v>
      </c>
      <c r="W52">
        <f>V52^2</f>
        <v>1527080286.7049954</v>
      </c>
    </row>
    <row r="53" spans="1:23">
      <c r="A53" t="s">
        <v>83</v>
      </c>
      <c r="B53" s="2">
        <v>45717</v>
      </c>
      <c r="C53" t="s">
        <v>15</v>
      </c>
      <c r="D53" t="s">
        <v>18</v>
      </c>
      <c r="E53">
        <v>57390.04</v>
      </c>
      <c r="F53">
        <v>7374</v>
      </c>
      <c r="G53">
        <v>0.21</v>
      </c>
      <c r="H53">
        <v>21</v>
      </c>
      <c r="I53">
        <v>91.8</v>
      </c>
      <c r="J53">
        <v>0.2</v>
      </c>
      <c r="K53">
        <v>0</v>
      </c>
      <c r="L53">
        <v>3.1</v>
      </c>
      <c r="M53">
        <v>679230.86</v>
      </c>
      <c r="N53">
        <v>106927.58</v>
      </c>
      <c r="O53">
        <f>IF($D53="High Street",1,0)</f>
        <v>1</v>
      </c>
      <c r="P53">
        <f>IF($D53="Mall",1,0)</f>
        <v>0</v>
      </c>
      <c r="Q53">
        <f>IF($D53="Airport",1,0)</f>
        <v>0</v>
      </c>
      <c r="R53">
        <f>IF($C53="North",1,0)</f>
        <v>0</v>
      </c>
      <c r="S53">
        <f>IF($C53="South",1,0)</f>
        <v>0</v>
      </c>
      <c r="T53">
        <f>IF($C53="East",1,0)</f>
        <v>1</v>
      </c>
      <c r="U53">
        <f>66915.46892+(1.209928492*E53)+(27.33619482*F53)+(-41243.14883*G53)+(3508.399163*H53)+(3062.210286*I53)+(-3438.10791*J53)+(15157.28728*K53)+(12509.46131*L53)+(20219.25907*O53)+(32832.85351*P53)+(44695.0949*Q53)+(-15342.70531*R53)+(-4201.853217*S53)+(-25291.41891*T53)</f>
        <v>717076.18813819962</v>
      </c>
      <c r="V53">
        <f>M53-U53</f>
        <v>-37845.328138199635</v>
      </c>
      <c r="W53">
        <f>V53^2</f>
        <v>1432268861.888005</v>
      </c>
    </row>
    <row r="54" spans="1:23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>
        <f>IF($D54="High Street",1,0)</f>
        <v>1</v>
      </c>
      <c r="P54">
        <f>IF($D54="Mall",1,0)</f>
        <v>0</v>
      </c>
      <c r="Q54">
        <f>IF($D54="Airport",1,0)</f>
        <v>0</v>
      </c>
      <c r="R54">
        <f>IF($C54="North",1,0)</f>
        <v>0</v>
      </c>
      <c r="S54">
        <f>IF($C54="South",1,0)</f>
        <v>0</v>
      </c>
      <c r="T54">
        <f>IF($C54="East",1,0)</f>
        <v>0</v>
      </c>
      <c r="U54">
        <f>66915.46892+(1.209928492*E54)+(27.33619482*F54)+(-41243.14883*G54)+(3508.399163*H54)+(3062.210286*I54)+(-3438.10791*J54)+(15157.28728*K54)+(12509.46131*L54)+(20219.25907*O54)+(32832.85351*P54)+(44695.0949*Q54)+(-15342.70531*R54)+(-4201.853217*S54)+(-25291.41891*T54)</f>
        <v>500126.55493465625</v>
      </c>
      <c r="V54">
        <f>M54-U54</f>
        <v>-36592.304934656247</v>
      </c>
      <c r="W54">
        <f>V54^2</f>
        <v>1338996780.4308679</v>
      </c>
    </row>
    <row r="55" spans="1:23">
      <c r="A55" t="s">
        <v>46</v>
      </c>
      <c r="B55" s="2">
        <v>45717</v>
      </c>
      <c r="C55" t="s">
        <v>27</v>
      </c>
      <c r="D55" t="s">
        <v>28</v>
      </c>
      <c r="E55">
        <v>38752.800000000003</v>
      </c>
      <c r="F55">
        <v>4712</v>
      </c>
      <c r="G55">
        <v>7.4999999999999997E-2</v>
      </c>
      <c r="H55">
        <v>15</v>
      </c>
      <c r="I55">
        <v>89.7</v>
      </c>
      <c r="J55">
        <v>3.3650000000000002</v>
      </c>
      <c r="K55">
        <v>0</v>
      </c>
      <c r="L55">
        <v>4.3</v>
      </c>
      <c r="M55">
        <v>605775.32999999996</v>
      </c>
      <c r="N55">
        <v>107194.6</v>
      </c>
      <c r="O55">
        <f>IF($D55="High Street",1,0)</f>
        <v>0</v>
      </c>
      <c r="P55">
        <f>IF($D55="Mall",1,0)</f>
        <v>1</v>
      </c>
      <c r="Q55">
        <f>IF($D55="Airport",1,0)</f>
        <v>0</v>
      </c>
      <c r="R55">
        <f>IF($C55="North",1,0)</f>
        <v>0</v>
      </c>
      <c r="S55">
        <f>IF($C55="South",1,0)</f>
        <v>0</v>
      </c>
      <c r="T55">
        <f>IF($C55="East",1,0)</f>
        <v>0</v>
      </c>
      <c r="U55">
        <f>66915.46892+(1.209928492*E55)+(27.33619482*F55)+(-41243.14883*G55)+(3508.399163*H55)+(3062.210286*I55)+(-3438.10791*J55)+(15157.28728*K55)+(12509.46131*L55)+(20219.25907*O55)+(32832.85351*P55)+(44695.0949*Q55)+(-15342.70531*R55)+(-4201.853217*S55)+(-25291.41891*T55)</f>
        <v>641879.05373941758</v>
      </c>
      <c r="V55">
        <f>M55-U55</f>
        <v>-36103.723739417619</v>
      </c>
      <c r="W55">
        <f>V55^2</f>
        <v>1303478867.8521874</v>
      </c>
    </row>
    <row r="56" spans="1:23">
      <c r="A56" t="s">
        <v>93</v>
      </c>
      <c r="B56" s="2">
        <v>45658</v>
      </c>
      <c r="C56" t="s">
        <v>27</v>
      </c>
      <c r="D56" t="s">
        <v>16</v>
      </c>
      <c r="E56">
        <v>60183.06</v>
      </c>
      <c r="F56">
        <v>5562</v>
      </c>
      <c r="G56">
        <v>8.9999999999999993E-3</v>
      </c>
      <c r="H56">
        <v>13</v>
      </c>
      <c r="I56">
        <v>86.3</v>
      </c>
      <c r="J56">
        <v>0.2</v>
      </c>
      <c r="K56">
        <v>1</v>
      </c>
      <c r="L56">
        <v>4.5</v>
      </c>
      <c r="M56">
        <v>636775.66</v>
      </c>
      <c r="N56">
        <v>122636.86</v>
      </c>
      <c r="O56">
        <f>IF($D56="High Street",1,0)</f>
        <v>0</v>
      </c>
      <c r="P56">
        <f>IF($D56="Mall",1,0)</f>
        <v>0</v>
      </c>
      <c r="Q56">
        <f>IF($D56="Airport",1,0)</f>
        <v>0</v>
      </c>
      <c r="R56">
        <f>IF($C56="North",1,0)</f>
        <v>0</v>
      </c>
      <c r="S56">
        <f>IF($C56="South",1,0)</f>
        <v>0</v>
      </c>
      <c r="T56">
        <f>IF($C56="East",1,0)</f>
        <v>0</v>
      </c>
      <c r="U56">
        <f>66915.46892+(1.209928492*E56)+(27.33619482*F56)+(-41243.14883*G56)+(3508.399163*H56)+(3062.210286*I56)+(-3438.10791*J56)+(15157.28728*K56)+(12509.46131*L56)+(20219.25907*O56)+(32832.85351*P56)+(44695.0949*Q56)+(-15342.70531*R56)+(-4201.853217*S56)+(-25291.41891*T56)</f>
        <v>672045.57359291543</v>
      </c>
      <c r="V56">
        <f>M56-U56</f>
        <v>-35269.9135929154</v>
      </c>
      <c r="W56">
        <f>V56^2</f>
        <v>1243966804.8517184</v>
      </c>
    </row>
    <row r="57" spans="1:23">
      <c r="A57" t="s">
        <v>47</v>
      </c>
      <c r="B57" s="2">
        <v>45689</v>
      </c>
      <c r="C57" t="s">
        <v>15</v>
      </c>
      <c r="D57" t="s">
        <v>28</v>
      </c>
      <c r="E57">
        <v>63101.59</v>
      </c>
      <c r="F57">
        <v>4373</v>
      </c>
      <c r="G57">
        <v>0.17299999999999999</v>
      </c>
      <c r="H57">
        <v>14</v>
      </c>
      <c r="I57">
        <v>90.4</v>
      </c>
      <c r="J57">
        <v>7.87</v>
      </c>
      <c r="K57">
        <v>0</v>
      </c>
      <c r="L57">
        <v>4.7</v>
      </c>
      <c r="M57">
        <v>586626.93999999994</v>
      </c>
      <c r="N57">
        <v>86498.55</v>
      </c>
      <c r="O57">
        <f>IF($D57="High Street",1,0)</f>
        <v>0</v>
      </c>
      <c r="P57">
        <f>IF($D57="Mall",1,0)</f>
        <v>1</v>
      </c>
      <c r="Q57">
        <f>IF($D57="Airport",1,0)</f>
        <v>0</v>
      </c>
      <c r="R57">
        <f>IF($C57="North",1,0)</f>
        <v>0</v>
      </c>
      <c r="S57">
        <f>IF($C57="South",1,0)</f>
        <v>0</v>
      </c>
      <c r="T57">
        <f>IF($C57="East",1,0)</f>
        <v>1</v>
      </c>
      <c r="U57">
        <f>66915.46892+(1.209928492*E57)+(27.33619482*F57)+(-41243.14883*G57)+(3508.399163*H57)+(3062.210286*I57)+(-3438.10791*J57)+(15157.28728*K57)+(12509.46131*L57)+(20219.25907*O57)+(32832.85351*P57)+(44695.0949*Q57)+(-15342.70531*R57)+(-4201.853217*S57)+(-25291.41891*T57)</f>
        <v>620889.38739347225</v>
      </c>
      <c r="V57">
        <f>M57-U57</f>
        <v>-34262.447393472306</v>
      </c>
      <c r="W57">
        <f>V57^2</f>
        <v>1173915301.3904572</v>
      </c>
    </row>
    <row r="58" spans="1:23">
      <c r="A58" t="s">
        <v>74</v>
      </c>
      <c r="B58" s="2">
        <v>45717</v>
      </c>
      <c r="C58" t="s">
        <v>15</v>
      </c>
      <c r="D58" t="s">
        <v>18</v>
      </c>
      <c r="E58">
        <v>107970.19</v>
      </c>
      <c r="F58">
        <v>12870</v>
      </c>
      <c r="G58">
        <v>2.9000000000000001E-2</v>
      </c>
      <c r="H58">
        <v>31</v>
      </c>
      <c r="I58">
        <v>91.7</v>
      </c>
      <c r="J58">
        <v>3.82</v>
      </c>
      <c r="K58">
        <v>1</v>
      </c>
      <c r="L58">
        <v>3.7</v>
      </c>
      <c r="M58">
        <v>946833.54</v>
      </c>
      <c r="N58">
        <v>184540.31</v>
      </c>
      <c r="O58">
        <f>IF($D58="High Street",1,0)</f>
        <v>1</v>
      </c>
      <c r="P58">
        <f>IF($D58="Mall",1,0)</f>
        <v>0</v>
      </c>
      <c r="Q58">
        <f>IF($D58="Airport",1,0)</f>
        <v>0</v>
      </c>
      <c r="R58">
        <f>IF($C58="North",1,0)</f>
        <v>0</v>
      </c>
      <c r="S58">
        <f>IF($C58="South",1,0)</f>
        <v>0</v>
      </c>
      <c r="T58">
        <f>IF($C58="East",1,0)</f>
        <v>1</v>
      </c>
      <c r="U58">
        <f>66915.46892+(1.209928492*E58)+(27.33619482*F58)+(-41243.14883*G58)+(3508.399163*H58)+(3062.210286*I58)+(-3438.10791*J58)+(15157.28728*K58)+(12509.46131*L58)+(20219.25907*O58)+(32832.85351*P58)+(44695.0949*Q58)+(-15342.70531*R58)+(-4201.853217*S58)+(-25291.41891*T58)</f>
        <v>980974.07345498342</v>
      </c>
      <c r="V58">
        <f>M58-U58</f>
        <v>-34140.533454983379</v>
      </c>
      <c r="W58">
        <f>V58^2</f>
        <v>1165576024.5908394</v>
      </c>
    </row>
    <row r="59" spans="1:23">
      <c r="A59" t="s">
        <v>71</v>
      </c>
      <c r="B59" s="2">
        <v>45717</v>
      </c>
      <c r="C59" t="s">
        <v>20</v>
      </c>
      <c r="D59" t="s">
        <v>16</v>
      </c>
      <c r="E59">
        <v>54479.33</v>
      </c>
      <c r="F59">
        <v>5012</v>
      </c>
      <c r="G59">
        <v>0.28399999999999997</v>
      </c>
      <c r="H59">
        <v>13</v>
      </c>
      <c r="I59">
        <v>86</v>
      </c>
      <c r="J59">
        <v>2.2400000000000002</v>
      </c>
      <c r="K59">
        <v>1</v>
      </c>
      <c r="L59">
        <v>4.3</v>
      </c>
      <c r="M59">
        <v>578949.84</v>
      </c>
      <c r="N59">
        <v>80253.649999999994</v>
      </c>
      <c r="O59">
        <f>IF($D59="High Street",1,0)</f>
        <v>0</v>
      </c>
      <c r="P59">
        <f>IF($D59="Mall",1,0)</f>
        <v>0</v>
      </c>
      <c r="Q59">
        <f>IF($D59="Airport",1,0)</f>
        <v>0</v>
      </c>
      <c r="R59">
        <f>IF($C59="North",1,0)</f>
        <v>1</v>
      </c>
      <c r="S59">
        <f>IF($C59="South",1,0)</f>
        <v>0</v>
      </c>
      <c r="T59">
        <f>IF($C59="East",1,0)</f>
        <v>0</v>
      </c>
      <c r="U59">
        <f>66915.46892+(1.209928492*E59)+(27.33619482*F59)+(-41243.14883*G59)+(3508.399163*H59)+(3062.210286*I59)+(-3438.10791*J59)+(15157.28728*K59)+(12509.46131*L59)+(20219.25907*O59)+(32832.85351*P59)+(44695.0949*Q59)+(-15342.70531*R59)+(-4201.853217*S59)+(-25291.41891*T59)</f>
        <v>612990.69428179029</v>
      </c>
      <c r="V59">
        <f>M59-U59</f>
        <v>-34040.854281790322</v>
      </c>
      <c r="W59">
        <f>V59^2</f>
        <v>1158779760.2340825</v>
      </c>
    </row>
    <row r="60" spans="1:23">
      <c r="A60" t="s">
        <v>95</v>
      </c>
      <c r="B60" s="2">
        <v>45658</v>
      </c>
      <c r="C60" t="s">
        <v>27</v>
      </c>
      <c r="D60" t="s">
        <v>18</v>
      </c>
      <c r="E60">
        <v>51996.32</v>
      </c>
      <c r="F60">
        <v>3834</v>
      </c>
      <c r="G60">
        <v>9.6000000000000002E-2</v>
      </c>
      <c r="H60">
        <v>8</v>
      </c>
      <c r="I60">
        <v>86.7</v>
      </c>
      <c r="J60">
        <v>6.04</v>
      </c>
      <c r="K60">
        <v>0</v>
      </c>
      <c r="L60">
        <v>4.5</v>
      </c>
      <c r="M60">
        <v>546223.69999999995</v>
      </c>
      <c r="N60">
        <v>100769.17</v>
      </c>
      <c r="O60">
        <f>IF($D60="High Street",1,0)</f>
        <v>1</v>
      </c>
      <c r="P60">
        <f>IF($D60="Mall",1,0)</f>
        <v>0</v>
      </c>
      <c r="Q60">
        <f>IF($D60="Airport",1,0)</f>
        <v>0</v>
      </c>
      <c r="R60">
        <f>IF($C60="North",1,0)</f>
        <v>0</v>
      </c>
      <c r="S60">
        <f>IF($C60="South",1,0)</f>
        <v>0</v>
      </c>
      <c r="T60">
        <f>IF($C60="East",1,0)</f>
        <v>0</v>
      </c>
      <c r="U60">
        <f>66915.46892+(1.209928492*E60)+(27.33619482*F60)+(-41243.14883*G60)+(3508.399163*H60)+(3062.210286*I60)+(-3438.10791*J60)+(15157.28728*K60)+(12509.46131*L60)+(20219.25907*O60)+(32832.85351*P60)+(44695.0949*Q60)+(-15342.70531*R60)+(-4201.853217*S60)+(-25291.41891*T60)</f>
        <v>579981.41490814951</v>
      </c>
      <c r="V60">
        <f>M60-U60</f>
        <v>-33757.714908149559</v>
      </c>
      <c r="W60">
        <f>V60^2</f>
        <v>1139583315.8199029</v>
      </c>
    </row>
    <row r="61" spans="1:23">
      <c r="A61" t="s">
        <v>73</v>
      </c>
      <c r="B61" s="2">
        <v>45658</v>
      </c>
      <c r="C61" t="s">
        <v>15</v>
      </c>
      <c r="D61" t="s">
        <v>28</v>
      </c>
      <c r="E61">
        <v>92090.14</v>
      </c>
      <c r="F61">
        <v>9476</v>
      </c>
      <c r="G61">
        <v>7.0000000000000007E-2</v>
      </c>
      <c r="H61">
        <v>24</v>
      </c>
      <c r="I61">
        <v>94.3</v>
      </c>
      <c r="J61">
        <v>0.87</v>
      </c>
      <c r="K61">
        <v>0</v>
      </c>
      <c r="L61">
        <v>3.7</v>
      </c>
      <c r="M61">
        <v>825060.52</v>
      </c>
      <c r="N61">
        <v>143613.15</v>
      </c>
      <c r="O61">
        <f>IF($D61="High Street",1,0)</f>
        <v>0</v>
      </c>
      <c r="P61">
        <f>IF($D61="Mall",1,0)</f>
        <v>1</v>
      </c>
      <c r="Q61">
        <f>IF($D61="Airport",1,0)</f>
        <v>0</v>
      </c>
      <c r="R61">
        <f>IF($C61="North",1,0)</f>
        <v>0</v>
      </c>
      <c r="S61">
        <f>IF($C61="South",1,0)</f>
        <v>0</v>
      </c>
      <c r="T61">
        <f>IF($C61="East",1,0)</f>
        <v>1</v>
      </c>
      <c r="U61">
        <f>66915.46892+(1.209928492*E61)+(27.33619482*F61)+(-41243.14883*G61)+(3508.399163*H61)+(3062.210286*I61)+(-3438.10791*J61)+(15157.28728*K61)+(12509.46131*L61)+(20219.25907*O61)+(32832.85351*P61)+(44695.0949*Q61)+(-15342.70531*R61)+(-4201.853217*S61)+(-25291.41891*T61)</f>
        <v>858292.01228158886</v>
      </c>
      <c r="V61">
        <f>M61-U61</f>
        <v>-33231.492281588842</v>
      </c>
      <c r="W61">
        <f>V61^2</f>
        <v>1104332079.2612989</v>
      </c>
    </row>
    <row r="62" spans="1:23">
      <c r="A62" t="s">
        <v>96</v>
      </c>
      <c r="B62" s="2">
        <v>45748</v>
      </c>
      <c r="C62" t="s">
        <v>27</v>
      </c>
      <c r="D62" t="s">
        <v>18</v>
      </c>
      <c r="E62">
        <v>24362.98</v>
      </c>
      <c r="F62">
        <v>1462</v>
      </c>
      <c r="G62">
        <v>0.11700000000000001</v>
      </c>
      <c r="H62">
        <v>6</v>
      </c>
      <c r="I62">
        <v>89.3</v>
      </c>
      <c r="J62">
        <v>15.06</v>
      </c>
      <c r="K62">
        <v>0</v>
      </c>
      <c r="L62">
        <v>3.2</v>
      </c>
      <c r="M62">
        <v>401582.58</v>
      </c>
      <c r="N62">
        <v>68454.929999999993</v>
      </c>
      <c r="O62">
        <f>IF($D62="High Street",1,0)</f>
        <v>1</v>
      </c>
      <c r="P62">
        <f>IF($D62="Mall",1,0)</f>
        <v>0</v>
      </c>
      <c r="Q62">
        <f>IF($D62="Airport",1,0)</f>
        <v>0</v>
      </c>
      <c r="R62">
        <f>IF($C62="North",1,0)</f>
        <v>0</v>
      </c>
      <c r="S62">
        <f>IF($C62="South",1,0)</f>
        <v>0</v>
      </c>
      <c r="T62">
        <f>IF($C62="East",1,0)</f>
        <v>0</v>
      </c>
      <c r="U62">
        <f>66915.46892+(1.209928492*E62)+(27.33619482*F62)+(-41243.14883*G62)+(3508.399163*H62)+(3062.210286*I62)+(-3438.10791*J62)+(15157.28728*K62)+(12509.46131*L62)+(20219.25907*O62)+(32832.85351*P62)+(44695.0949*Q62)+(-15342.70531*R62)+(-4201.853217*S62)+(-25291.41891*T62)</f>
        <v>434510.4046409562</v>
      </c>
      <c r="V62">
        <f>M62-U62</f>
        <v>-32927.824640956183</v>
      </c>
      <c r="W62">
        <f>V62^2</f>
        <v>1084241635.5855613</v>
      </c>
    </row>
    <row r="63" spans="1:23">
      <c r="A63" t="s">
        <v>60</v>
      </c>
      <c r="B63" s="2">
        <v>45717</v>
      </c>
      <c r="C63" t="s">
        <v>15</v>
      </c>
      <c r="D63" t="s">
        <v>18</v>
      </c>
      <c r="E63">
        <v>61433.84</v>
      </c>
      <c r="F63">
        <v>7745</v>
      </c>
      <c r="G63">
        <v>0.18</v>
      </c>
      <c r="H63">
        <v>16</v>
      </c>
      <c r="I63">
        <v>90.5</v>
      </c>
      <c r="J63">
        <v>2.2599999999999998</v>
      </c>
      <c r="K63">
        <v>0</v>
      </c>
      <c r="L63">
        <v>4.2</v>
      </c>
      <c r="M63">
        <v>685830.24</v>
      </c>
      <c r="N63">
        <v>128736.18</v>
      </c>
      <c r="O63">
        <f>IF($D63="High Street",1,0)</f>
        <v>1</v>
      </c>
      <c r="P63">
        <f>IF($D63="Mall",1,0)</f>
        <v>0</v>
      </c>
      <c r="Q63">
        <f>IF($D63="Airport",1,0)</f>
        <v>0</v>
      </c>
      <c r="R63">
        <f>IF($C63="North",1,0)</f>
        <v>0</v>
      </c>
      <c r="S63">
        <f>IF($C63="South",1,0)</f>
        <v>0</v>
      </c>
      <c r="T63">
        <f>IF($C63="East",1,0)</f>
        <v>1</v>
      </c>
      <c r="U63">
        <f>66915.46892+(1.209928492*E63)+(27.33619482*F63)+(-41243.14883*G63)+(3508.399163*H63)+(3062.210286*I63)+(-3438.10791*J63)+(15157.28728*K63)+(12509.46131*L63)+(20219.25907*O63)+(32832.85351*P63)+(44695.0949*Q63)+(-15342.70531*R63)+(-4201.853217*S63)+(-25291.41891*T63)</f>
        <v>718502.95567686937</v>
      </c>
      <c r="V63">
        <f>M63-U63</f>
        <v>-32672.715676869382</v>
      </c>
      <c r="W63">
        <f>V63^2</f>
        <v>1067506349.7015463</v>
      </c>
    </row>
    <row r="64" spans="1:23">
      <c r="A64" t="s">
        <v>70</v>
      </c>
      <c r="B64" s="2">
        <v>45748</v>
      </c>
      <c r="C64" t="s">
        <v>27</v>
      </c>
      <c r="D64" t="s">
        <v>16</v>
      </c>
      <c r="E64">
        <v>41657.64</v>
      </c>
      <c r="F64">
        <v>3135</v>
      </c>
      <c r="G64">
        <v>0.22900000000000001</v>
      </c>
      <c r="H64">
        <v>7</v>
      </c>
      <c r="I64">
        <v>85.4</v>
      </c>
      <c r="J64">
        <v>13.48</v>
      </c>
      <c r="K64">
        <v>0</v>
      </c>
      <c r="L64">
        <v>3.9</v>
      </c>
      <c r="M64">
        <v>449465.06</v>
      </c>
      <c r="N64">
        <v>65694.78</v>
      </c>
      <c r="O64">
        <f>IF($D64="High Street",1,0)</f>
        <v>0</v>
      </c>
      <c r="P64">
        <f>IF($D64="Mall",1,0)</f>
        <v>0</v>
      </c>
      <c r="Q64">
        <f>IF($D64="Airport",1,0)</f>
        <v>0</v>
      </c>
      <c r="R64">
        <f>IF($C64="North",1,0)</f>
        <v>0</v>
      </c>
      <c r="S64">
        <f>IF($C64="South",1,0)</f>
        <v>0</v>
      </c>
      <c r="T64">
        <f>IF($C64="East",1,0)</f>
        <v>0</v>
      </c>
      <c r="U64">
        <f>66915.46892+(1.209928492*E64)+(27.33619482*F64)+(-41243.14883*G64)+(3508.399163*H64)+(3062.210286*I64)+(-3438.10791*J64)+(15157.28728*K64)+(12509.46131*L64)+(20219.25907*O64)+(32832.85351*P64)+(44695.0949*Q64)+(-15342.70531*R64)+(-4201.853217*S64)+(-25291.41891*T64)</f>
        <v>482085.28119170887</v>
      </c>
      <c r="V64">
        <f>M64-U64</f>
        <v>-32620.221191708872</v>
      </c>
      <c r="W64">
        <f>V64^2</f>
        <v>1064078830.5960126</v>
      </c>
    </row>
    <row r="65" spans="1:23">
      <c r="A65" t="s">
        <v>33</v>
      </c>
      <c r="B65" s="2">
        <v>45689</v>
      </c>
      <c r="C65" t="s">
        <v>27</v>
      </c>
      <c r="D65" t="s">
        <v>16</v>
      </c>
      <c r="E65">
        <v>63630.21</v>
      </c>
      <c r="F65">
        <v>4460</v>
      </c>
      <c r="G65">
        <v>0.23499999999999999</v>
      </c>
      <c r="H65">
        <v>14</v>
      </c>
      <c r="I65">
        <v>98.6</v>
      </c>
      <c r="J65">
        <v>5.52</v>
      </c>
      <c r="K65">
        <v>0</v>
      </c>
      <c r="L65">
        <v>3.5</v>
      </c>
      <c r="M65">
        <v>599603.4</v>
      </c>
      <c r="N65">
        <v>112685.12</v>
      </c>
      <c r="O65">
        <f>IF($D65="High Street",1,0)</f>
        <v>0</v>
      </c>
      <c r="P65">
        <f>IF($D65="Mall",1,0)</f>
        <v>0</v>
      </c>
      <c r="Q65">
        <f>IF($D65="Airport",1,0)</f>
        <v>0</v>
      </c>
      <c r="R65">
        <f>IF($C65="North",1,0)</f>
        <v>0</v>
      </c>
      <c r="S65">
        <f>IF($C65="South",1,0)</f>
        <v>0</v>
      </c>
      <c r="T65">
        <f>IF($C65="East",1,0)</f>
        <v>0</v>
      </c>
      <c r="U65">
        <f>66915.46892+(1.209928492*E65)+(27.33619482*F65)+(-41243.14883*G65)+(3508.399163*H65)+(3062.210286*I65)+(-3438.10791*J65)+(15157.28728*K65)+(12509.46131*L65)+(20219.25907*O65)+(32832.85351*P65)+(44695.0949*Q65)+(-15342.70531*R65)+(-4201.853217*S65)+(-25291.41891*T65)</f>
        <v>631987.0432764932</v>
      </c>
      <c r="V65">
        <f>M65-U65</f>
        <v>-32383.643276493181</v>
      </c>
      <c r="W65">
        <f>V65^2</f>
        <v>1048700351.8591621</v>
      </c>
    </row>
    <row r="66" spans="1:23">
      <c r="A66" t="s">
        <v>36</v>
      </c>
      <c r="B66" s="2">
        <v>45658</v>
      </c>
      <c r="C66" t="s">
        <v>15</v>
      </c>
      <c r="D66" t="s">
        <v>21</v>
      </c>
      <c r="E66">
        <v>19365.060000000001</v>
      </c>
      <c r="F66">
        <v>2378</v>
      </c>
      <c r="G66">
        <v>0</v>
      </c>
      <c r="H66">
        <v>12</v>
      </c>
      <c r="I66">
        <v>94.8</v>
      </c>
      <c r="J66">
        <v>0.2</v>
      </c>
      <c r="K66">
        <v>0</v>
      </c>
      <c r="L66">
        <v>3.5</v>
      </c>
      <c r="M66">
        <v>518049.26</v>
      </c>
      <c r="N66">
        <v>108592.49</v>
      </c>
      <c r="O66">
        <f>IF($D66="High Street",1,0)</f>
        <v>0</v>
      </c>
      <c r="P66">
        <f>IF($D66="Mall",1,0)</f>
        <v>0</v>
      </c>
      <c r="Q66">
        <f>IF($D66="Airport",1,0)</f>
        <v>1</v>
      </c>
      <c r="R66">
        <f>IF($C66="North",1,0)</f>
        <v>0</v>
      </c>
      <c r="S66">
        <f>IF($C66="South",1,0)</f>
        <v>0</v>
      </c>
      <c r="T66">
        <f>IF($C66="East",1,0)</f>
        <v>1</v>
      </c>
      <c r="U66">
        <f>66915.46892+(1.209928492*E66)+(27.33619482*F66)+(-41243.14883*G66)+(3508.399163*H66)+(3062.210286*I66)+(-3438.10791*J66)+(15157.28728*K66)+(12509.46131*L66)+(20219.25907*O66)+(32832.85351*P66)+(44695.0949*Q66)+(-15342.70531*R66)+(-4201.853217*S66)+(-25291.41891*T66)</f>
        <v>550248.77210704959</v>
      </c>
      <c r="V66">
        <f>M66-U66</f>
        <v>-32199.512107049581</v>
      </c>
      <c r="W66">
        <f>V66^2</f>
        <v>1036808579.9320326</v>
      </c>
    </row>
    <row r="67" spans="1:23">
      <c r="A67" t="s">
        <v>52</v>
      </c>
      <c r="B67" s="2">
        <v>45748</v>
      </c>
      <c r="C67" t="s">
        <v>20</v>
      </c>
      <c r="D67" t="s">
        <v>18</v>
      </c>
      <c r="E67">
        <v>19063.48</v>
      </c>
      <c r="F67">
        <v>1906</v>
      </c>
      <c r="G67">
        <v>0.216</v>
      </c>
      <c r="H67">
        <v>10</v>
      </c>
      <c r="I67">
        <v>97.8</v>
      </c>
      <c r="J67">
        <v>15.79</v>
      </c>
      <c r="K67">
        <v>0</v>
      </c>
      <c r="L67">
        <v>4.4000000000000004</v>
      </c>
      <c r="M67">
        <v>441275.42</v>
      </c>
      <c r="N67">
        <v>58234.87</v>
      </c>
      <c r="O67">
        <f>IF($D67="High Street",1,0)</f>
        <v>1</v>
      </c>
      <c r="P67">
        <f>IF($D67="Mall",1,0)</f>
        <v>0</v>
      </c>
      <c r="Q67">
        <f>IF($D67="Airport",1,0)</f>
        <v>0</v>
      </c>
      <c r="R67">
        <f>IF($C67="North",1,0)</f>
        <v>1</v>
      </c>
      <c r="S67">
        <f>IF($C67="South",1,0)</f>
        <v>0</v>
      </c>
      <c r="T67">
        <f>IF($C67="East",1,0)</f>
        <v>0</v>
      </c>
      <c r="U67">
        <f>66915.46892+(1.209928492*E67)+(27.33619482*F67)+(-41243.14883*G67)+(3508.399163*H67)+(3062.210286*I67)+(-3438.10791*J67)+(15157.28728*K67)+(12509.46131*L67)+(20219.25907*O67)+(32832.85351*P67)+(44695.0949*Q67)+(-15342.70531*R67)+(-4201.853217*S67)+(-25291.41891*T67)</f>
        <v>473373.80093421217</v>
      </c>
      <c r="V67">
        <f>M67-U67</f>
        <v>-32098.380934212182</v>
      </c>
      <c r="W67">
        <f>V67^2</f>
        <v>1030306058.5977961</v>
      </c>
    </row>
    <row r="68" spans="1:23">
      <c r="A68" t="s">
        <v>23</v>
      </c>
      <c r="B68" s="2">
        <v>45717</v>
      </c>
      <c r="C68" t="s">
        <v>24</v>
      </c>
      <c r="D68" t="s">
        <v>16</v>
      </c>
      <c r="E68">
        <v>78831.12</v>
      </c>
      <c r="F68">
        <v>5538</v>
      </c>
      <c r="G68">
        <v>0</v>
      </c>
      <c r="H68">
        <v>15</v>
      </c>
      <c r="I68">
        <v>94.1</v>
      </c>
      <c r="J68">
        <v>0.2</v>
      </c>
      <c r="K68">
        <v>0</v>
      </c>
      <c r="L68">
        <v>3.9</v>
      </c>
      <c r="M68">
        <v>666573.19999999995</v>
      </c>
      <c r="N68">
        <v>140641.01999999999</v>
      </c>
      <c r="O68">
        <f>IF($D68="High Street",1,0)</f>
        <v>0</v>
      </c>
      <c r="P68">
        <f>IF($D68="Mall",1,0)</f>
        <v>0</v>
      </c>
      <c r="Q68">
        <f>IF($D68="Airport",1,0)</f>
        <v>0</v>
      </c>
      <c r="R68">
        <f>IF($C68="North",1,0)</f>
        <v>0</v>
      </c>
      <c r="S68">
        <f>IF($C68="South",1,0)</f>
        <v>1</v>
      </c>
      <c r="T68">
        <f>IF($C68="East",1,0)</f>
        <v>0</v>
      </c>
      <c r="U68">
        <f>66915.46892+(1.209928492*E68)+(27.33619482*F68)+(-41243.14883*G68)+(3508.399163*H68)+(3062.210286*I68)+(-3438.10791*J68)+(15157.28728*K68)+(12509.46131*L68)+(20219.25907*O68)+(32832.85351*P68)+(44695.0949*Q68)+(-15342.70531*R68)+(-4201.853217*S68)+(-25291.41891*T68)</f>
        <v>698360.733645031</v>
      </c>
      <c r="V68">
        <f>M68-U68</f>
        <v>-31787.533645031042</v>
      </c>
      <c r="W68">
        <f>V68^2</f>
        <v>1010447295.2339805</v>
      </c>
    </row>
    <row r="69" spans="1:23">
      <c r="A69" t="s">
        <v>43</v>
      </c>
      <c r="B69" s="2">
        <v>45689</v>
      </c>
      <c r="C69" t="s">
        <v>27</v>
      </c>
      <c r="D69" t="s">
        <v>18</v>
      </c>
      <c r="E69">
        <v>88443.77</v>
      </c>
      <c r="F69">
        <v>4004</v>
      </c>
      <c r="G69">
        <v>0.20599999999999999</v>
      </c>
      <c r="H69">
        <v>11</v>
      </c>
      <c r="I69">
        <v>91.9</v>
      </c>
      <c r="J69">
        <v>5.95</v>
      </c>
      <c r="K69">
        <v>0</v>
      </c>
      <c r="L69">
        <v>3.9</v>
      </c>
      <c r="M69">
        <v>611766.72</v>
      </c>
      <c r="N69">
        <v>88275.61</v>
      </c>
      <c r="O69">
        <f>IF($D69="High Street",1,0)</f>
        <v>1</v>
      </c>
      <c r="P69">
        <f>IF($D69="Mall",1,0)</f>
        <v>0</v>
      </c>
      <c r="Q69">
        <f>IF($D69="Airport",1,0)</f>
        <v>0</v>
      </c>
      <c r="R69">
        <f>IF($C69="North",1,0)</f>
        <v>0</v>
      </c>
      <c r="S69">
        <f>IF($C69="South",1,0)</f>
        <v>0</v>
      </c>
      <c r="T69">
        <f>IF($C69="East",1,0)</f>
        <v>0</v>
      </c>
      <c r="U69">
        <f>66915.46892+(1.209928492*E69)+(27.33619482*F69)+(-41243.14883*G69)+(3508.399163*H69)+(3062.210286*I69)+(-3438.10791*J69)+(15157.28728*K69)+(12509.46131*L69)+(20219.25907*O69)+(32832.85351*P69)+(44695.0949*Q69)+(-15342.70531*R69)+(-4201.853217*S69)+(-25291.41891*T69)</f>
        <v>643443.07377409493</v>
      </c>
      <c r="V69">
        <f>M69-U69</f>
        <v>-31676.353774094954</v>
      </c>
      <c r="W69">
        <f>V69^2</f>
        <v>1003391388.4216197</v>
      </c>
    </row>
    <row r="70" spans="1:23">
      <c r="A70" t="s">
        <v>19</v>
      </c>
      <c r="B70" s="2">
        <v>45717</v>
      </c>
      <c r="C70" t="s">
        <v>20</v>
      </c>
      <c r="D70" t="s">
        <v>21</v>
      </c>
      <c r="E70">
        <v>34285.21</v>
      </c>
      <c r="F70">
        <v>9172</v>
      </c>
      <c r="G70">
        <v>0.21299999999999999</v>
      </c>
      <c r="H70">
        <v>22</v>
      </c>
      <c r="I70">
        <v>88.3</v>
      </c>
      <c r="J70">
        <v>10.46</v>
      </c>
      <c r="K70">
        <v>1</v>
      </c>
      <c r="L70">
        <v>3.8</v>
      </c>
      <c r="M70">
        <v>723060.76</v>
      </c>
      <c r="N70">
        <v>123131.24</v>
      </c>
      <c r="O70">
        <f>IF($D70="High Street",1,0)</f>
        <v>0</v>
      </c>
      <c r="P70">
        <f>IF($D70="Mall",1,0)</f>
        <v>0</v>
      </c>
      <c r="Q70">
        <f>IF($D70="Airport",1,0)</f>
        <v>1</v>
      </c>
      <c r="R70">
        <f>IF($C70="North",1,0)</f>
        <v>1</v>
      </c>
      <c r="S70">
        <f>IF($C70="South",1,0)</f>
        <v>0</v>
      </c>
      <c r="T70">
        <f>IF($C70="East",1,0)</f>
        <v>0</v>
      </c>
      <c r="U70">
        <f>66915.46892+(1.209928492*E70)+(27.33619482*F70)+(-41243.14883*G70)+(3508.399163*H70)+(3062.210286*I70)+(-3438.10791*J70)+(15157.28728*K70)+(12509.46131*L70)+(20219.25907*O70)+(32832.85351*P70)+(44695.0949*Q70)+(-15342.70531*R70)+(-4201.853217*S70)+(-25291.41891*T70)</f>
        <v>754001.88049065345</v>
      </c>
      <c r="V70">
        <f>M70-U70</f>
        <v>-30941.12049065344</v>
      </c>
      <c r="W70">
        <f>V70^2</f>
        <v>957352937.21713424</v>
      </c>
    </row>
    <row r="71" spans="1:23">
      <c r="A71" t="s">
        <v>97</v>
      </c>
      <c r="B71" s="2">
        <v>45717</v>
      </c>
      <c r="C71" t="s">
        <v>20</v>
      </c>
      <c r="D71" t="s">
        <v>28</v>
      </c>
      <c r="E71">
        <v>52843.75</v>
      </c>
      <c r="F71">
        <v>8268</v>
      </c>
      <c r="G71">
        <v>0.13800000000000001</v>
      </c>
      <c r="H71">
        <v>19</v>
      </c>
      <c r="I71">
        <v>87.3</v>
      </c>
      <c r="J71">
        <v>4.3899999999999997</v>
      </c>
      <c r="K71">
        <v>1</v>
      </c>
      <c r="L71">
        <v>4.7</v>
      </c>
      <c r="M71">
        <v>730890.01</v>
      </c>
      <c r="N71">
        <v>105502.56</v>
      </c>
      <c r="O71">
        <f>IF($D71="High Street",1,0)</f>
        <v>0</v>
      </c>
      <c r="P71">
        <f>IF($D71="Mall",1,0)</f>
        <v>1</v>
      </c>
      <c r="Q71">
        <f>IF($D71="Airport",1,0)</f>
        <v>0</v>
      </c>
      <c r="R71">
        <f>IF($C71="North",1,0)</f>
        <v>1</v>
      </c>
      <c r="S71">
        <f>IF($C71="South",1,0)</f>
        <v>0</v>
      </c>
      <c r="T71">
        <f>IF($C71="East",1,0)</f>
        <v>0</v>
      </c>
      <c r="U71">
        <f>66915.46892+(1.209928492*E71)+(27.33619482*F71)+(-41243.14883*G71)+(3508.399163*H71)+(3062.210286*I71)+(-3438.10791*J71)+(15157.28728*K71)+(12509.46131*L71)+(20219.25907*O71)+(32832.85351*P71)+(44695.0949*Q71)+(-15342.70531*R71)+(-4201.853217*S71)+(-25291.41891*T71)</f>
        <v>761515.88387924514</v>
      </c>
      <c r="V71">
        <f>M71-U71</f>
        <v>-30625.873879245133</v>
      </c>
      <c r="W71">
        <f>V71^2</f>
        <v>937944150.86742938</v>
      </c>
    </row>
    <row r="72" spans="1:23">
      <c r="A72" t="s">
        <v>19</v>
      </c>
      <c r="B72" s="2">
        <v>45689</v>
      </c>
      <c r="C72" t="s">
        <v>20</v>
      </c>
      <c r="D72" t="s">
        <v>21</v>
      </c>
      <c r="E72">
        <v>68133.440000000002</v>
      </c>
      <c r="F72">
        <v>9459</v>
      </c>
      <c r="G72">
        <v>0.22</v>
      </c>
      <c r="H72">
        <v>21</v>
      </c>
      <c r="I72">
        <v>85</v>
      </c>
      <c r="J72">
        <v>1.91</v>
      </c>
      <c r="K72">
        <v>0</v>
      </c>
      <c r="L72">
        <v>4.2</v>
      </c>
      <c r="M72">
        <v>779010.94</v>
      </c>
      <c r="N72">
        <v>106328.09</v>
      </c>
      <c r="O72">
        <f>IF($D72="High Street",1,0)</f>
        <v>0</v>
      </c>
      <c r="P72">
        <f>IF($D72="Mall",1,0)</f>
        <v>0</v>
      </c>
      <c r="Q72">
        <f>IF($D72="Airport",1,0)</f>
        <v>1</v>
      </c>
      <c r="R72">
        <f>IF($C72="North",1,0)</f>
        <v>1</v>
      </c>
      <c r="S72">
        <f>IF($C72="South",1,0)</f>
        <v>0</v>
      </c>
      <c r="T72">
        <f>IF($C72="East",1,0)</f>
        <v>0</v>
      </c>
      <c r="U72">
        <f>66915.46892+(1.209928492*E72)+(27.33619482*F72)+(-41243.14883*G72)+(3508.399163*H72)+(3062.210286*I72)+(-3438.10791*J72)+(15157.28728*K72)+(12509.46131*L72)+(20219.25907*O72)+(32832.85351*P72)+(44695.0949*Q72)+(-15342.70531*R72)+(-4201.853217*S72)+(-25291.41891*T72)</f>
        <v>808141.23101065261</v>
      </c>
      <c r="V72">
        <f>M72-U72</f>
        <v>-29130.291010652669</v>
      </c>
      <c r="W72">
        <f>V72^2</f>
        <v>848573854.36531174</v>
      </c>
    </row>
    <row r="73" spans="1:23">
      <c r="A73" t="s">
        <v>94</v>
      </c>
      <c r="B73" s="2">
        <v>45689</v>
      </c>
      <c r="C73" t="s">
        <v>15</v>
      </c>
      <c r="D73" t="s">
        <v>16</v>
      </c>
      <c r="E73">
        <v>68909.259999999995</v>
      </c>
      <c r="F73">
        <v>7794</v>
      </c>
      <c r="G73">
        <v>0.28399999999999997</v>
      </c>
      <c r="H73">
        <v>22</v>
      </c>
      <c r="I73">
        <v>89</v>
      </c>
      <c r="J73">
        <v>0.33</v>
      </c>
      <c r="K73">
        <v>0</v>
      </c>
      <c r="L73">
        <v>4</v>
      </c>
      <c r="M73">
        <v>696261.49</v>
      </c>
      <c r="N73">
        <v>72455.350000000006</v>
      </c>
      <c r="O73">
        <f>IF($D73="High Street",1,0)</f>
        <v>0</v>
      </c>
      <c r="P73">
        <f>IF($D73="Mall",1,0)</f>
        <v>0</v>
      </c>
      <c r="Q73">
        <f>IF($D73="Airport",1,0)</f>
        <v>0</v>
      </c>
      <c r="R73">
        <f>IF($C73="North",1,0)</f>
        <v>0</v>
      </c>
      <c r="S73">
        <f>IF($C73="South",1,0)</f>
        <v>0</v>
      </c>
      <c r="T73">
        <f>IF($C73="East",1,0)</f>
        <v>1</v>
      </c>
      <c r="U73">
        <f>66915.46892+(1.209928492*E73)+(27.33619482*F73)+(-41243.14883*G73)+(3508.399163*H73)+(3062.210286*I73)+(-3438.10791*J73)+(15157.28728*K73)+(12509.46131*L73)+(20219.25907*O73)+(32832.85351*P73)+(44695.0949*Q73)+(-15342.70531*R73)+(-4201.853217*S73)+(-25291.41891*T73)</f>
        <v>724969.34187569609</v>
      </c>
      <c r="V73">
        <f>M73-U73</f>
        <v>-28707.851875696098</v>
      </c>
      <c r="W73">
        <f>V73^2</f>
        <v>824140759.316908</v>
      </c>
    </row>
    <row r="74" spans="1:23">
      <c r="A74" t="s">
        <v>36</v>
      </c>
      <c r="B74" s="2">
        <v>45689</v>
      </c>
      <c r="C74" t="s">
        <v>15</v>
      </c>
      <c r="D74" t="s">
        <v>21</v>
      </c>
      <c r="E74">
        <v>59405.68</v>
      </c>
      <c r="F74">
        <v>2515</v>
      </c>
      <c r="G74">
        <v>3.9E-2</v>
      </c>
      <c r="H74">
        <v>12</v>
      </c>
      <c r="I74">
        <v>76</v>
      </c>
      <c r="J74">
        <v>5.1100000000000003</v>
      </c>
      <c r="K74">
        <v>0</v>
      </c>
      <c r="L74">
        <v>3.7</v>
      </c>
      <c r="M74">
        <v>500298.48</v>
      </c>
      <c r="N74">
        <v>73461.320000000007</v>
      </c>
      <c r="O74">
        <f>IF($D74="High Street",1,0)</f>
        <v>0</v>
      </c>
      <c r="P74">
        <f>IF($D74="Mall",1,0)</f>
        <v>0</v>
      </c>
      <c r="Q74">
        <f>IF($D74="Airport",1,0)</f>
        <v>1</v>
      </c>
      <c r="R74">
        <f>IF($C74="North",1,0)</f>
        <v>0</v>
      </c>
      <c r="S74">
        <f>IF($C74="South",1,0)</f>
        <v>0</v>
      </c>
      <c r="T74">
        <f>IF($C74="East",1,0)</f>
        <v>1</v>
      </c>
      <c r="U74">
        <f>66915.46892+(1.209928492*E74)+(27.33619482*F74)+(-41243.14883*G74)+(3508.399163*H74)+(3062.210286*I74)+(-3438.10791*J74)+(15157.28728*K74)+(12509.46131*L74)+(20219.25907*O74)+(32832.85351*P74)+(44695.0949*Q74)+(-15342.70531*R74)+(-4201.853217*S74)+(-25291.41891*T74)</f>
        <v>528882.86401546444</v>
      </c>
      <c r="V74">
        <f>M74-U74</f>
        <v>-28584.384015464457</v>
      </c>
      <c r="W74">
        <f>V74^2</f>
        <v>817067009.54353988</v>
      </c>
    </row>
    <row r="75" spans="1:23">
      <c r="A75" t="s">
        <v>61</v>
      </c>
      <c r="B75" s="2">
        <v>45658</v>
      </c>
      <c r="C75" t="s">
        <v>20</v>
      </c>
      <c r="D75" t="s">
        <v>28</v>
      </c>
      <c r="E75">
        <v>86883.31</v>
      </c>
      <c r="F75">
        <v>6424</v>
      </c>
      <c r="G75">
        <v>5.7000000000000002E-2</v>
      </c>
      <c r="H75">
        <v>19</v>
      </c>
      <c r="I75">
        <v>85.2</v>
      </c>
      <c r="J75">
        <v>3.08</v>
      </c>
      <c r="K75">
        <v>0</v>
      </c>
      <c r="L75">
        <v>3.9</v>
      </c>
      <c r="M75">
        <v>700078.32</v>
      </c>
      <c r="N75">
        <v>123707.58</v>
      </c>
      <c r="O75">
        <f>IF($D75="High Street",1,0)</f>
        <v>0</v>
      </c>
      <c r="P75">
        <f>IF($D75="Mall",1,0)</f>
        <v>1</v>
      </c>
      <c r="Q75">
        <f>IF($D75="Airport",1,0)</f>
        <v>0</v>
      </c>
      <c r="R75">
        <f>IF($C75="North",1,0)</f>
        <v>1</v>
      </c>
      <c r="S75">
        <f>IF($C75="South",1,0)</f>
        <v>0</v>
      </c>
      <c r="T75">
        <f>IF($C75="East",1,0)</f>
        <v>0</v>
      </c>
      <c r="U75">
        <f>66915.46892+(1.209928492*E75)+(27.33619482*F75)+(-41243.14883*G75)+(3508.399163*H75)+(3062.210286*I75)+(-3438.10791*J75)+(15157.28728*K75)+(12509.46131*L75)+(20219.25907*O75)+(32832.85351*P75)+(44695.0949*Q75)+(-15342.70531*R75)+(-4201.853217*S75)+(-25291.41891*T75)</f>
        <v>728542.49261903856</v>
      </c>
      <c r="V75">
        <f>M75-U75</f>
        <v>-28464.172619038611</v>
      </c>
      <c r="W75">
        <f>V75^2</f>
        <v>810209122.8864274</v>
      </c>
    </row>
    <row r="76" spans="1:23">
      <c r="A76" t="s">
        <v>79</v>
      </c>
      <c r="B76" s="2">
        <v>45717</v>
      </c>
      <c r="C76" t="s">
        <v>15</v>
      </c>
      <c r="D76" t="s">
        <v>18</v>
      </c>
      <c r="E76">
        <v>33173.949999999997</v>
      </c>
      <c r="F76">
        <v>6545</v>
      </c>
      <c r="G76">
        <v>0.16900000000000001</v>
      </c>
      <c r="H76">
        <v>15</v>
      </c>
      <c r="I76">
        <v>84.4</v>
      </c>
      <c r="J76">
        <v>2.48</v>
      </c>
      <c r="K76">
        <v>0</v>
      </c>
      <c r="L76">
        <v>3.9</v>
      </c>
      <c r="M76">
        <v>596969.27</v>
      </c>
      <c r="N76">
        <v>105669.51</v>
      </c>
      <c r="O76">
        <f>IF($D76="High Street",1,0)</f>
        <v>1</v>
      </c>
      <c r="P76">
        <f>IF($D76="Mall",1,0)</f>
        <v>0</v>
      </c>
      <c r="Q76">
        <f>IF($D76="Airport",1,0)</f>
        <v>0</v>
      </c>
      <c r="R76">
        <f>IF($C76="North",1,0)</f>
        <v>0</v>
      </c>
      <c r="S76">
        <f>IF($C76="South",1,0)</f>
        <v>0</v>
      </c>
      <c r="T76">
        <f>IF($C76="East",1,0)</f>
        <v>1</v>
      </c>
      <c r="U76">
        <f>66915.46892+(1.209928492*E76)+(27.33619482*F76)+(-41243.14883*G76)+(3508.399163*H76)+(3062.210286*I76)+(-3438.10791*J76)+(15157.28728*K76)+(12509.46131*L76)+(20219.25907*O76)+(32832.85351*P76)+(44695.0949*Q76)+(-15342.70531*R76)+(-4201.853217*S76)+(-25291.41891*T76)</f>
        <v>625263.64639741334</v>
      </c>
      <c r="V76">
        <f>M76-U76</f>
        <v>-28294.376397413318</v>
      </c>
      <c r="W76">
        <f>V76^2</f>
        <v>800571735.7184999</v>
      </c>
    </row>
    <row r="77" spans="1:23">
      <c r="A77" t="s">
        <v>90</v>
      </c>
      <c r="B77" s="2">
        <v>45717</v>
      </c>
      <c r="C77" t="s">
        <v>27</v>
      </c>
      <c r="D77" t="s">
        <v>18</v>
      </c>
      <c r="E77">
        <v>47648.71</v>
      </c>
      <c r="F77">
        <v>5767</v>
      </c>
      <c r="G77">
        <v>0.14099999999999999</v>
      </c>
      <c r="H77">
        <v>17</v>
      </c>
      <c r="I77">
        <v>89.8</v>
      </c>
      <c r="J77">
        <v>1.76</v>
      </c>
      <c r="K77">
        <v>0</v>
      </c>
      <c r="L77">
        <v>3.1</v>
      </c>
      <c r="M77">
        <v>635837.74</v>
      </c>
      <c r="N77">
        <v>114740.64</v>
      </c>
      <c r="O77">
        <f>IF($D77="High Street",1,0)</f>
        <v>1</v>
      </c>
      <c r="P77">
        <f>IF($D77="Mall",1,0)</f>
        <v>0</v>
      </c>
      <c r="Q77">
        <f>IF($D77="Airport",1,0)</f>
        <v>0</v>
      </c>
      <c r="R77">
        <f>IF($C77="North",1,0)</f>
        <v>0</v>
      </c>
      <c r="S77">
        <f>IF($C77="South",1,0)</f>
        <v>0</v>
      </c>
      <c r="T77">
        <f>IF($C77="East",1,0)</f>
        <v>0</v>
      </c>
      <c r="U77">
        <f>66915.46892+(1.209928492*E77)+(27.33619482*F77)+(-41243.14883*G77)+(3508.399163*H77)+(3062.210286*I77)+(-3438.10791*J77)+(15157.28728*K77)+(12509.46131*L77)+(20219.25907*O77)+(32832.85351*P77)+(44695.0949*Q77)+(-15342.70531*R77)+(-4201.853217*S77)+(-25291.41891*T77)</f>
        <v>663976.34096115513</v>
      </c>
      <c r="V77">
        <f>M77-U77</f>
        <v>-28138.600961155142</v>
      </c>
      <c r="W77">
        <f>V77^2</f>
        <v>791780864.05112112</v>
      </c>
    </row>
    <row r="78" spans="1:23">
      <c r="A78" t="s">
        <v>51</v>
      </c>
      <c r="B78" s="2">
        <v>45717</v>
      </c>
      <c r="C78" t="s">
        <v>27</v>
      </c>
      <c r="D78" t="s">
        <v>16</v>
      </c>
      <c r="E78">
        <v>42415.47</v>
      </c>
      <c r="F78">
        <v>8512</v>
      </c>
      <c r="G78">
        <v>0.13300000000000001</v>
      </c>
      <c r="H78">
        <v>18</v>
      </c>
      <c r="I78">
        <v>96.8</v>
      </c>
      <c r="J78">
        <v>14.95</v>
      </c>
      <c r="K78">
        <v>0</v>
      </c>
      <c r="L78">
        <v>4.5999999999999996</v>
      </c>
      <c r="M78">
        <v>684217.32</v>
      </c>
      <c r="N78">
        <v>136217.19</v>
      </c>
      <c r="O78">
        <f>IF($D78="High Street",1,0)</f>
        <v>0</v>
      </c>
      <c r="P78">
        <f>IF($D78="Mall",1,0)</f>
        <v>0</v>
      </c>
      <c r="Q78">
        <f>IF($D78="Airport",1,0)</f>
        <v>0</v>
      </c>
      <c r="R78">
        <f>IF($C78="North",1,0)</f>
        <v>0</v>
      </c>
      <c r="S78">
        <f>IF($C78="South",1,0)</f>
        <v>0</v>
      </c>
      <c r="T78">
        <f>IF($C78="East",1,0)</f>
        <v>0</v>
      </c>
      <c r="U78">
        <f>66915.46892+(1.209928492*E78)+(27.33619482*F78)+(-41243.14883*G78)+(3508.399163*H78)+(3062.210286*I78)+(-3438.10791*J78)+(15157.28728*K78)+(12509.46131*L78)+(20219.25907*O78)+(32832.85351*P78)+(44695.0949*Q78)+(-15342.70531*R78)+(-4201.853217*S78)+(-25291.41891*T78)</f>
        <v>711152.4554783213</v>
      </c>
      <c r="V78">
        <f>M78-U78</f>
        <v>-26935.135478321346</v>
      </c>
      <c r="W78">
        <f>V78^2</f>
        <v>725501523.23552525</v>
      </c>
    </row>
    <row r="79" spans="1:23">
      <c r="A79" t="s">
        <v>43</v>
      </c>
      <c r="B79" s="2">
        <v>45748</v>
      </c>
      <c r="C79" t="s">
        <v>27</v>
      </c>
      <c r="D79" t="s">
        <v>18</v>
      </c>
      <c r="E79">
        <v>18996.32</v>
      </c>
      <c r="F79">
        <v>1260</v>
      </c>
      <c r="G79">
        <v>0.14499999999999999</v>
      </c>
      <c r="H79">
        <v>9</v>
      </c>
      <c r="I79">
        <v>86.4</v>
      </c>
      <c r="J79">
        <v>4.3099999999999996</v>
      </c>
      <c r="K79">
        <v>0</v>
      </c>
      <c r="L79">
        <v>4.5999999999999996</v>
      </c>
      <c r="M79">
        <v>450711.92</v>
      </c>
      <c r="N79">
        <v>90043.76</v>
      </c>
      <c r="O79">
        <f>IF($D79="High Street",1,0)</f>
        <v>1</v>
      </c>
      <c r="P79">
        <f>IF($D79="Mall",1,0)</f>
        <v>0</v>
      </c>
      <c r="Q79">
        <f>IF($D79="Airport",1,0)</f>
        <v>0</v>
      </c>
      <c r="R79">
        <f>IF($C79="North",1,0)</f>
        <v>0</v>
      </c>
      <c r="S79">
        <f>IF($C79="South",1,0)</f>
        <v>0</v>
      </c>
      <c r="T79">
        <f>IF($C79="East",1,0)</f>
        <v>0</v>
      </c>
      <c r="U79">
        <f>66915.46892+(1.209928492*E79)+(27.33619482*F79)+(-41243.14883*G79)+(3508.399163*H79)+(3062.210286*I79)+(-3438.10791*J79)+(15157.28728*K79)+(12509.46131*L79)+(20219.25907*O79)+(32832.85351*P79)+(44695.0949*Q79)+(-15342.70531*R79)+(-4201.853217*S79)+(-25291.41891*T79)</f>
        <v>477458.10380529938</v>
      </c>
      <c r="V79">
        <f>M79-U79</f>
        <v>-26746.183805299399</v>
      </c>
      <c r="W79">
        <f>V79^2</f>
        <v>715358348.14685988</v>
      </c>
    </row>
    <row r="80" spans="1:23">
      <c r="A80" t="s">
        <v>93</v>
      </c>
      <c r="B80" s="2">
        <v>45748</v>
      </c>
      <c r="C80" t="s">
        <v>27</v>
      </c>
      <c r="D80" t="s">
        <v>16</v>
      </c>
      <c r="E80">
        <v>40928.69</v>
      </c>
      <c r="F80">
        <v>4094</v>
      </c>
      <c r="G80">
        <v>0.17399999999999999</v>
      </c>
      <c r="H80">
        <v>13</v>
      </c>
      <c r="I80">
        <v>82.4</v>
      </c>
      <c r="J80">
        <v>1.36</v>
      </c>
      <c r="K80">
        <v>0</v>
      </c>
      <c r="L80">
        <v>4.8</v>
      </c>
      <c r="M80">
        <v>548103.69999999995</v>
      </c>
      <c r="N80">
        <v>99905.52</v>
      </c>
      <c r="O80">
        <f>IF($D80="High Street",1,0)</f>
        <v>0</v>
      </c>
      <c r="P80">
        <f>IF($D80="Mall",1,0)</f>
        <v>0</v>
      </c>
      <c r="Q80">
        <f>IF($D80="Airport",1,0)</f>
        <v>0</v>
      </c>
      <c r="R80">
        <f>IF($C80="North",1,0)</f>
        <v>0</v>
      </c>
      <c r="S80">
        <f>IF($C80="South",1,0)</f>
        <v>0</v>
      </c>
      <c r="T80">
        <f>IF($C80="East",1,0)</f>
        <v>0</v>
      </c>
      <c r="U80">
        <f>66915.46892+(1.209928492*E80)+(27.33619482*F80)+(-41243.14883*G80)+(3508.399163*H80)+(3062.210286*I80)+(-3438.10791*J80)+(15157.28728*K80)+(12509.46131*L80)+(20219.25907*O80)+(32832.85351*P80)+(44695.0949*Q80)+(-15342.70531*R80)+(-4201.853217*S80)+(-25291.41891*T80)</f>
        <v>574479.23500369547</v>
      </c>
      <c r="V80">
        <f>M80-U80</f>
        <v>-26375.535003695521</v>
      </c>
      <c r="W80">
        <f>V80^2</f>
        <v>695668846.73116767</v>
      </c>
    </row>
    <row r="81" spans="1:23">
      <c r="A81" t="s">
        <v>26</v>
      </c>
      <c r="B81" s="2">
        <v>45717</v>
      </c>
      <c r="C81" t="s">
        <v>27</v>
      </c>
      <c r="D81" t="s">
        <v>28</v>
      </c>
      <c r="E81">
        <v>55270.52</v>
      </c>
      <c r="F81">
        <v>9315</v>
      </c>
      <c r="G81">
        <v>0.16900000000000001</v>
      </c>
      <c r="H81">
        <v>23</v>
      </c>
      <c r="I81">
        <v>91.9</v>
      </c>
      <c r="J81">
        <v>4.9400000000000004</v>
      </c>
      <c r="K81">
        <v>0</v>
      </c>
      <c r="L81">
        <v>4</v>
      </c>
      <c r="M81">
        <v>783672.82</v>
      </c>
      <c r="N81">
        <v>112577.14</v>
      </c>
      <c r="O81">
        <f>IF($D81="High Street",1,0)</f>
        <v>0</v>
      </c>
      <c r="P81">
        <f>IF($D81="Mall",1,0)</f>
        <v>1</v>
      </c>
      <c r="Q81">
        <f>IF($D81="Airport",1,0)</f>
        <v>0</v>
      </c>
      <c r="R81">
        <f>IF($C81="North",1,0)</f>
        <v>0</v>
      </c>
      <c r="S81">
        <f>IF($C81="South",1,0)</f>
        <v>0</v>
      </c>
      <c r="T81">
        <f>IF($C81="East",1,0)</f>
        <v>0</v>
      </c>
      <c r="U81">
        <f>66915.46892+(1.209928492*E81)+(27.33619482*F81)+(-41243.14883*G81)+(3508.399163*H81)+(3062.210286*I81)+(-3438.10791*J81)+(15157.28728*K81)+(12509.46131*L81)+(20219.25907*O81)+(32832.85351*P81)+(44695.0949*Q81)+(-15342.70531*R81)+(-4201.853217*S81)+(-25291.41891*T81)</f>
        <v>809452.16013868595</v>
      </c>
      <c r="V81">
        <f>M81-U81</f>
        <v>-25779.340138686006</v>
      </c>
      <c r="W81">
        <f>V81^2</f>
        <v>664574377.98606741</v>
      </c>
    </row>
    <row r="82" spans="1:23">
      <c r="A82" t="s">
        <v>36</v>
      </c>
      <c r="B82" s="2">
        <v>45748</v>
      </c>
      <c r="C82" t="s">
        <v>15</v>
      </c>
      <c r="D82" t="s">
        <v>21</v>
      </c>
      <c r="E82">
        <v>52952.12</v>
      </c>
      <c r="F82">
        <v>4377</v>
      </c>
      <c r="G82">
        <v>9.1999999999999998E-2</v>
      </c>
      <c r="H82">
        <v>14</v>
      </c>
      <c r="I82">
        <v>88.6</v>
      </c>
      <c r="J82">
        <v>13.59</v>
      </c>
      <c r="K82">
        <v>0</v>
      </c>
      <c r="L82">
        <v>3.1</v>
      </c>
      <c r="M82">
        <v>553756.43000000005</v>
      </c>
      <c r="N82">
        <v>86166.77</v>
      </c>
      <c r="O82">
        <f>IF($D82="High Street",1,0)</f>
        <v>0</v>
      </c>
      <c r="P82">
        <f>IF($D82="Mall",1,0)</f>
        <v>0</v>
      </c>
      <c r="Q82">
        <f>IF($D82="Airport",1,0)</f>
        <v>1</v>
      </c>
      <c r="R82">
        <f>IF($C82="North",1,0)</f>
        <v>0</v>
      </c>
      <c r="S82">
        <f>IF($C82="South",1,0)</f>
        <v>0</v>
      </c>
      <c r="T82">
        <f>IF($C82="East",1,0)</f>
        <v>1</v>
      </c>
      <c r="U82">
        <f>66915.46892+(1.209928492*E82)+(27.33619482*F82)+(-41243.14883*G82)+(3508.399163*H82)+(3062.210286*I82)+(-3438.10791*J82)+(15157.28728*K82)+(12509.46131*L82)+(20219.25907*O82)+(32832.85351*P82)+(44695.0949*Q82)+(-15342.70531*R82)+(-4201.853217*S82)+(-25291.41891*T82)</f>
        <v>578728.44183028291</v>
      </c>
      <c r="V82">
        <f>M82-U82</f>
        <v>-24972.011830282863</v>
      </c>
      <c r="W82">
        <f>V82^2</f>
        <v>623601374.85178733</v>
      </c>
    </row>
    <row r="83" spans="1:23">
      <c r="A83" t="s">
        <v>31</v>
      </c>
      <c r="B83" s="2">
        <v>45689</v>
      </c>
      <c r="C83" t="s">
        <v>20</v>
      </c>
      <c r="D83" t="s">
        <v>28</v>
      </c>
      <c r="E83">
        <v>61245.41</v>
      </c>
      <c r="F83">
        <v>8156</v>
      </c>
      <c r="G83">
        <v>0.156</v>
      </c>
      <c r="H83">
        <v>19</v>
      </c>
      <c r="I83">
        <v>92.9</v>
      </c>
      <c r="J83">
        <v>9.0500000000000007</v>
      </c>
      <c r="K83">
        <v>0</v>
      </c>
      <c r="L83">
        <v>3.8</v>
      </c>
      <c r="M83">
        <v>718330.53</v>
      </c>
      <c r="N83">
        <v>93247.9</v>
      </c>
      <c r="O83">
        <f>IF($D83="High Street",1,0)</f>
        <v>0</v>
      </c>
      <c r="P83">
        <f>IF($D83="Mall",1,0)</f>
        <v>1</v>
      </c>
      <c r="Q83">
        <f>IF($D83="Airport",1,0)</f>
        <v>0</v>
      </c>
      <c r="R83">
        <f>IF($C83="North",1,0)</f>
        <v>1</v>
      </c>
      <c r="S83">
        <f>IF($C83="South",1,0)</f>
        <v>0</v>
      </c>
      <c r="T83">
        <f>IF($C83="East",1,0)</f>
        <v>0</v>
      </c>
      <c r="U83">
        <f>66915.46892+(1.209928492*E83)+(27.33619482*F83)+(-41243.14883*G83)+(3508.399163*H83)+(3062.210286*I83)+(-3438.10791*J83)+(15157.28728*K83)+(12509.46131*L83)+(20219.25907*O83)+(32832.85351*P83)+(44695.0949*Q83)+(-15342.70531*R83)+(-4201.853217*S83)+(-25291.41891*T83)</f>
        <v>742588.25347656186</v>
      </c>
      <c r="V83">
        <f>M83-U83</f>
        <v>-24257.723476561834</v>
      </c>
      <c r="W83">
        <f>V83^2</f>
        <v>588437148.26533914</v>
      </c>
    </row>
    <row r="84" spans="1:23">
      <c r="A84" t="s">
        <v>67</v>
      </c>
      <c r="B84" s="2">
        <v>45717</v>
      </c>
      <c r="C84" t="s">
        <v>27</v>
      </c>
      <c r="D84" t="s">
        <v>16</v>
      </c>
      <c r="E84">
        <v>63010.23</v>
      </c>
      <c r="F84">
        <v>9812</v>
      </c>
      <c r="G84">
        <v>0.113</v>
      </c>
      <c r="H84">
        <v>24</v>
      </c>
      <c r="I84">
        <v>76.8</v>
      </c>
      <c r="J84">
        <v>1.02</v>
      </c>
      <c r="K84">
        <v>1</v>
      </c>
      <c r="L84">
        <v>3.8</v>
      </c>
      <c r="M84">
        <v>761077.08</v>
      </c>
      <c r="N84">
        <v>113605.93</v>
      </c>
      <c r="O84">
        <f>IF($D84="High Street",1,0)</f>
        <v>0</v>
      </c>
      <c r="P84">
        <f>IF($D84="Mall",1,0)</f>
        <v>0</v>
      </c>
      <c r="Q84">
        <f>IF($D84="Airport",1,0)</f>
        <v>0</v>
      </c>
      <c r="R84">
        <f>IF($C84="North",1,0)</f>
        <v>0</v>
      </c>
      <c r="S84">
        <f>IF($C84="South",1,0)</f>
        <v>0</v>
      </c>
      <c r="T84">
        <f>IF($C84="East",1,0)</f>
        <v>0</v>
      </c>
      <c r="U84">
        <f>66915.46892+(1.209928492*E84)+(27.33619482*F84)+(-41243.14883*G84)+(3508.399163*H84)+(3062.210286*I84)+(-3438.10791*J84)+(15157.28728*K84)+(12509.46131*L84)+(20219.25907*O84)+(32832.85351*P84)+(44695.0949*Q84)+(-15342.70531*R84)+(-4201.853217*S84)+(-25291.41891*T84)</f>
        <v>785281.30930712319</v>
      </c>
      <c r="V84">
        <f>M84-U84</f>
        <v>-24204.229307123227</v>
      </c>
      <c r="W84">
        <f>V84^2</f>
        <v>585844716.35180295</v>
      </c>
    </row>
    <row r="85" spans="1:23">
      <c r="A85" t="s">
        <v>40</v>
      </c>
      <c r="B85" s="2">
        <v>45748</v>
      </c>
      <c r="C85" t="s">
        <v>15</v>
      </c>
      <c r="D85" t="s">
        <v>16</v>
      </c>
      <c r="E85">
        <v>58749.63</v>
      </c>
      <c r="F85">
        <v>8252</v>
      </c>
      <c r="G85">
        <v>0.20300000000000001</v>
      </c>
      <c r="H85">
        <v>20</v>
      </c>
      <c r="I85">
        <v>85.2</v>
      </c>
      <c r="J85">
        <v>3.61</v>
      </c>
      <c r="K85">
        <v>0</v>
      </c>
      <c r="L85">
        <v>4.5</v>
      </c>
      <c r="M85">
        <v>680840.36</v>
      </c>
      <c r="N85">
        <v>68007.679999999993</v>
      </c>
      <c r="O85">
        <f>IF($D85="High Street",1,0)</f>
        <v>0</v>
      </c>
      <c r="P85">
        <f>IF($D85="Mall",1,0)</f>
        <v>0</v>
      </c>
      <c r="Q85">
        <f>IF($D85="Airport",1,0)</f>
        <v>0</v>
      </c>
      <c r="R85">
        <f>IF($C85="North",1,0)</f>
        <v>0</v>
      </c>
      <c r="S85">
        <f>IF($C85="South",1,0)</f>
        <v>0</v>
      </c>
      <c r="T85">
        <f>IF($C85="East",1,0)</f>
        <v>1</v>
      </c>
      <c r="U85">
        <f>66915.46892+(1.209928492*E85)+(27.33619482*F85)+(-41243.14883*G85)+(3508.399163*H85)+(3062.210286*I85)+(-3438.10791*J85)+(15157.28728*K85)+(12509.46131*L85)+(20219.25907*O85)+(32832.85351*P85)+(44695.0949*Q85)+(-15342.70531*R85)+(-4201.853217*S85)+(-25291.41891*T85)</f>
        <v>704862.12765070796</v>
      </c>
      <c r="V85">
        <f>M85-U85</f>
        <v>-24021.767650707974</v>
      </c>
      <c r="W85">
        <f>V85^2</f>
        <v>577045321.06460011</v>
      </c>
    </row>
    <row r="86" spans="1:23">
      <c r="A86" t="s">
        <v>55</v>
      </c>
      <c r="B86" s="2">
        <v>45748</v>
      </c>
      <c r="C86" t="s">
        <v>20</v>
      </c>
      <c r="D86" t="s">
        <v>18</v>
      </c>
      <c r="E86">
        <v>70366.759999999995</v>
      </c>
      <c r="F86">
        <v>1963</v>
      </c>
      <c r="G86">
        <v>0.182</v>
      </c>
      <c r="H86">
        <v>8</v>
      </c>
      <c r="I86">
        <v>89.8</v>
      </c>
      <c r="J86">
        <v>3.2</v>
      </c>
      <c r="K86">
        <v>0</v>
      </c>
      <c r="L86">
        <v>4.5999999999999996</v>
      </c>
      <c r="M86">
        <v>529075.94999999995</v>
      </c>
      <c r="N86">
        <v>95978.83</v>
      </c>
      <c r="O86">
        <f>IF($D86="High Street",1,0)</f>
        <v>1</v>
      </c>
      <c r="P86">
        <f>IF($D86="Mall",1,0)</f>
        <v>0</v>
      </c>
      <c r="Q86">
        <f>IF($D86="Airport",1,0)</f>
        <v>0</v>
      </c>
      <c r="R86">
        <f>IF($C86="North",1,0)</f>
        <v>1</v>
      </c>
      <c r="S86">
        <f>IF($C86="South",1,0)</f>
        <v>0</v>
      </c>
      <c r="T86">
        <f>IF($C86="East",1,0)</f>
        <v>0</v>
      </c>
      <c r="U86">
        <f>66915.46892+(1.209928492*E86)+(27.33619482*F86)+(-41243.14883*G86)+(3508.399163*H86)+(3062.210286*I86)+(-3438.10791*J86)+(15157.28728*K86)+(12509.46131*L86)+(20219.25907*O86)+(32832.85351*P86)+(44695.0949*Q86)+(-15342.70531*R86)+(-4201.853217*S86)+(-25291.41891*T86)</f>
        <v>552680.72153912589</v>
      </c>
      <c r="V86">
        <f>M86-U86</f>
        <v>-23604.771539125941</v>
      </c>
      <c r="W86">
        <f>V86^2</f>
        <v>557185239.41433001</v>
      </c>
    </row>
    <row r="87" spans="1:23">
      <c r="A87" t="s">
        <v>41</v>
      </c>
      <c r="B87" s="2">
        <v>45748</v>
      </c>
      <c r="C87" t="s">
        <v>24</v>
      </c>
      <c r="D87" t="s">
        <v>18</v>
      </c>
      <c r="E87">
        <v>77999.899999999994</v>
      </c>
      <c r="F87">
        <v>5974</v>
      </c>
      <c r="G87">
        <v>0.252</v>
      </c>
      <c r="H87">
        <v>14</v>
      </c>
      <c r="I87">
        <v>81.3</v>
      </c>
      <c r="J87">
        <v>2.39</v>
      </c>
      <c r="K87">
        <v>0</v>
      </c>
      <c r="L87">
        <v>3.2</v>
      </c>
      <c r="M87">
        <v>636561.34</v>
      </c>
      <c r="N87">
        <v>93861.06</v>
      </c>
      <c r="O87">
        <f>IF($D87="High Street",1,0)</f>
        <v>1</v>
      </c>
      <c r="P87">
        <f>IF($D87="Mall",1,0)</f>
        <v>0</v>
      </c>
      <c r="Q87">
        <f>IF($D87="Airport",1,0)</f>
        <v>0</v>
      </c>
      <c r="R87">
        <f>IF($C87="North",1,0)</f>
        <v>0</v>
      </c>
      <c r="S87">
        <f>IF($C87="South",1,0)</f>
        <v>1</v>
      </c>
      <c r="T87">
        <f>IF($C87="East",1,0)</f>
        <v>0</v>
      </c>
      <c r="U87">
        <f>66915.46892+(1.209928492*E87)+(27.33619482*F87)+(-41243.14883*G87)+(3508.399163*H87)+(3062.210286*I87)+(-3438.10791*J87)+(15157.28728*K87)+(12509.46131*L87)+(20219.25907*O87)+(32832.85351*P87)+(44695.0949*Q87)+(-15342.70531*R87)+(-4201.853217*S87)+(-25291.41891*T87)</f>
        <v>660108.81332657079</v>
      </c>
      <c r="V87">
        <f>M87-U87</f>
        <v>-23547.47332657082</v>
      </c>
      <c r="W87">
        <f>V87^2</f>
        <v>554483500.06556427</v>
      </c>
    </row>
    <row r="88" spans="1:23">
      <c r="A88" t="s">
        <v>49</v>
      </c>
      <c r="B88" s="2">
        <v>45717</v>
      </c>
      <c r="C88" t="s">
        <v>15</v>
      </c>
      <c r="D88" t="s">
        <v>28</v>
      </c>
      <c r="E88">
        <v>51056.15</v>
      </c>
      <c r="F88">
        <v>5686</v>
      </c>
      <c r="G88">
        <v>8.8999999999999996E-2</v>
      </c>
      <c r="H88">
        <v>13</v>
      </c>
      <c r="I88">
        <v>89.9</v>
      </c>
      <c r="J88">
        <v>1.28</v>
      </c>
      <c r="K88">
        <v>0</v>
      </c>
      <c r="L88">
        <v>4.2</v>
      </c>
      <c r="M88">
        <v>633494.21</v>
      </c>
      <c r="N88">
        <v>105739.47</v>
      </c>
      <c r="O88">
        <f>IF($D88="High Street",1,0)</f>
        <v>0</v>
      </c>
      <c r="P88">
        <f>IF($D88="Mall",1,0)</f>
        <v>1</v>
      </c>
      <c r="Q88">
        <f>IF($D88="Airport",1,0)</f>
        <v>0</v>
      </c>
      <c r="R88">
        <f>IF($C88="North",1,0)</f>
        <v>0</v>
      </c>
      <c r="S88">
        <f>IF($C88="South",1,0)</f>
        <v>0</v>
      </c>
      <c r="T88">
        <f>IF($C88="East",1,0)</f>
        <v>1</v>
      </c>
      <c r="U88">
        <f>66915.46892+(1.209928492*E88)+(27.33619482*F88)+(-41243.14883*G88)+(3508.399163*H88)+(3062.210286*I88)+(-3438.10791*J88)+(15157.28728*K88)+(12509.46131*L88)+(20219.25907*O88)+(32832.85351*P88)+(44695.0949*Q88)+(-15342.70531*R88)+(-4201.853217*S88)+(-25291.41891*T88)</f>
        <v>657035.01080507599</v>
      </c>
      <c r="V88">
        <f>M88-U88</f>
        <v>-23540.800805076025</v>
      </c>
      <c r="W88">
        <f>V88^2</f>
        <v>554169302.54426801</v>
      </c>
    </row>
    <row r="89" spans="1:23">
      <c r="A89" t="s">
        <v>31</v>
      </c>
      <c r="B89" s="2">
        <v>45748</v>
      </c>
      <c r="C89" t="s">
        <v>20</v>
      </c>
      <c r="D89" t="s">
        <v>28</v>
      </c>
      <c r="E89">
        <v>65012.19</v>
      </c>
      <c r="F89">
        <v>9598</v>
      </c>
      <c r="G89">
        <v>8.5000000000000006E-2</v>
      </c>
      <c r="H89">
        <v>24</v>
      </c>
      <c r="I89">
        <v>98.3</v>
      </c>
      <c r="J89">
        <v>0.89</v>
      </c>
      <c r="K89">
        <v>0</v>
      </c>
      <c r="L89">
        <v>3.8</v>
      </c>
      <c r="M89">
        <v>828623.85</v>
      </c>
      <c r="N89">
        <v>167320.51999999999</v>
      </c>
      <c r="O89">
        <f>IF($D89="High Street",1,0)</f>
        <v>0</v>
      </c>
      <c r="P89">
        <f>IF($D89="Mall",1,0)</f>
        <v>1</v>
      </c>
      <c r="Q89">
        <f>IF($D89="Airport",1,0)</f>
        <v>0</v>
      </c>
      <c r="R89">
        <f>IF($C89="North",1,0)</f>
        <v>1</v>
      </c>
      <c r="S89">
        <f>IF($C89="South",1,0)</f>
        <v>0</v>
      </c>
      <c r="T89">
        <f>IF($C89="East",1,0)</f>
        <v>0</v>
      </c>
      <c r="U89">
        <f>66915.46892+(1.209928492*E89)+(27.33619482*F89)+(-41243.14883*G89)+(3508.399163*H89)+(3062.210286*I89)+(-3438.10791*J89)+(15157.28728*K89)+(12509.46131*L89)+(20219.25907*O89)+(32832.85351*P89)+(44695.0949*Q89)+(-15342.70531*R89)+(-4201.853217*S89)+(-25291.41891*T89)</f>
        <v>851625.73632402753</v>
      </c>
      <c r="V89">
        <f>M89-U89</f>
        <v>-23001.886324027553</v>
      </c>
      <c r="W89">
        <f>V89^2</f>
        <v>529086774.46348578</v>
      </c>
    </row>
    <row r="90" spans="1:23">
      <c r="A90" t="s">
        <v>23</v>
      </c>
      <c r="B90" s="2">
        <v>45748</v>
      </c>
      <c r="C90" t="s">
        <v>24</v>
      </c>
      <c r="D90" t="s">
        <v>16</v>
      </c>
      <c r="E90">
        <v>41441.93</v>
      </c>
      <c r="F90">
        <v>4865</v>
      </c>
      <c r="G90">
        <v>0.158</v>
      </c>
      <c r="H90">
        <v>16</v>
      </c>
      <c r="I90">
        <v>88.3</v>
      </c>
      <c r="J90">
        <v>0.5</v>
      </c>
      <c r="K90">
        <v>0</v>
      </c>
      <c r="L90">
        <v>4</v>
      </c>
      <c r="M90">
        <v>591619.94999999995</v>
      </c>
      <c r="N90">
        <v>99521.35</v>
      </c>
      <c r="O90">
        <f>IF($D90="High Street",1,0)</f>
        <v>0</v>
      </c>
      <c r="P90">
        <f>IF($D90="Mall",1,0)</f>
        <v>0</v>
      </c>
      <c r="Q90">
        <f>IF($D90="Airport",1,0)</f>
        <v>0</v>
      </c>
      <c r="R90">
        <f>IF($C90="North",1,0)</f>
        <v>0</v>
      </c>
      <c r="S90">
        <f>IF($C90="South",1,0)</f>
        <v>1</v>
      </c>
      <c r="T90">
        <f>IF($C90="East",1,0)</f>
        <v>0</v>
      </c>
      <c r="U90">
        <f>66915.46892+(1.209928492*E90)+(27.33619482*F90)+(-41243.14883*G90)+(3508.399163*H90)+(3062.210286*I90)+(-3438.10791*J90)+(15157.28728*K90)+(12509.46131*L90)+(20219.25907*O90)+(32832.85351*P90)+(44695.0949*Q90)+(-15342.70531*R90)+(-4201.853217*S90)+(-25291.41891*T90)</f>
        <v>614175.90400442958</v>
      </c>
      <c r="V90">
        <f>M90-U90</f>
        <v>-22555.95400442963</v>
      </c>
      <c r="W90">
        <f>V90^2</f>
        <v>508771061.04994506</v>
      </c>
    </row>
    <row r="91" spans="1:23">
      <c r="A91" t="s">
        <v>55</v>
      </c>
      <c r="B91" s="2">
        <v>45717</v>
      </c>
      <c r="C91" t="s">
        <v>20</v>
      </c>
      <c r="D91" t="s">
        <v>18</v>
      </c>
      <c r="E91">
        <v>52285.45</v>
      </c>
      <c r="F91">
        <v>3618</v>
      </c>
      <c r="G91">
        <v>8.5999999999999993E-2</v>
      </c>
      <c r="H91">
        <v>11</v>
      </c>
      <c r="I91">
        <v>95.6</v>
      </c>
      <c r="J91">
        <v>5.17</v>
      </c>
      <c r="K91">
        <v>1</v>
      </c>
      <c r="L91">
        <v>4.4000000000000004</v>
      </c>
      <c r="M91">
        <v>593247.25</v>
      </c>
      <c r="N91">
        <v>81240.289999999994</v>
      </c>
      <c r="O91">
        <f>IF($D91="High Street",1,0)</f>
        <v>1</v>
      </c>
      <c r="P91">
        <f>IF($D91="Mall",1,0)</f>
        <v>0</v>
      </c>
      <c r="Q91">
        <f>IF($D91="Airport",1,0)</f>
        <v>0</v>
      </c>
      <c r="R91">
        <f>IF($C91="North",1,0)</f>
        <v>1</v>
      </c>
      <c r="S91">
        <f>IF($C91="South",1,0)</f>
        <v>0</v>
      </c>
      <c r="T91">
        <f>IF($C91="East",1,0)</f>
        <v>0</v>
      </c>
      <c r="U91">
        <f>66915.46892+(1.209928492*E91)+(27.33619482*F91)+(-41243.14883*G91)+(3508.399163*H91)+(3062.210286*I91)+(-3438.10791*J91)+(15157.28728*K91)+(12509.46131*L91)+(20219.25907*O91)+(32832.85351*P91)+(44695.0949*Q91)+(-15342.70531*R91)+(-4201.853217*S91)+(-25291.41891*T91)</f>
        <v>614172.71369532135</v>
      </c>
      <c r="V91">
        <f>M91-U91</f>
        <v>-20925.463695321348</v>
      </c>
      <c r="W91">
        <f>V91^2</f>
        <v>437875030.8642118</v>
      </c>
    </row>
    <row r="92" spans="1:23">
      <c r="A92" t="s">
        <v>82</v>
      </c>
      <c r="B92" s="2">
        <v>45748</v>
      </c>
      <c r="C92" t="s">
        <v>24</v>
      </c>
      <c r="D92" t="s">
        <v>21</v>
      </c>
      <c r="E92">
        <v>53546.34</v>
      </c>
      <c r="F92">
        <v>8004</v>
      </c>
      <c r="G92">
        <v>0</v>
      </c>
      <c r="H92">
        <v>21</v>
      </c>
      <c r="I92">
        <v>95.2</v>
      </c>
      <c r="J92">
        <v>2.83</v>
      </c>
      <c r="K92">
        <v>0</v>
      </c>
      <c r="L92">
        <v>3</v>
      </c>
      <c r="M92">
        <v>763159.92</v>
      </c>
      <c r="N92">
        <v>177104.87</v>
      </c>
      <c r="O92">
        <f>IF($D92="High Street",1,0)</f>
        <v>0</v>
      </c>
      <c r="P92">
        <f>IF($D92="Mall",1,0)</f>
        <v>0</v>
      </c>
      <c r="Q92">
        <f>IF($D92="Airport",1,0)</f>
        <v>1</v>
      </c>
      <c r="R92">
        <f>IF($C92="North",1,0)</f>
        <v>0</v>
      </c>
      <c r="S92">
        <f>IF($C92="South",1,0)</f>
        <v>1</v>
      </c>
      <c r="T92">
        <f>IF($C92="East",1,0)</f>
        <v>0</v>
      </c>
      <c r="U92">
        <f>66915.46892+(1.209928492*E92)+(27.33619482*F92)+(-41243.14883*G92)+(3508.399163*H92)+(3062.210286*I92)+(-3438.10791*J92)+(15157.28728*K92)+(12509.46131*L92)+(20219.25907*O92)+(32832.85351*P92)+(44695.0949*Q92)+(-15342.70531*R92)+(-4201.853217*S92)+(-25291.41891*T92)</f>
        <v>783992.19654549938</v>
      </c>
      <c r="V92">
        <f>M92-U92</f>
        <v>-20832.276545499335</v>
      </c>
      <c r="W92">
        <f>V92^2</f>
        <v>433983746.06816173</v>
      </c>
    </row>
    <row r="93" spans="1:23">
      <c r="A93" t="s">
        <v>60</v>
      </c>
      <c r="B93" s="2">
        <v>45658</v>
      </c>
      <c r="C93" t="s">
        <v>15</v>
      </c>
      <c r="D93" t="s">
        <v>18</v>
      </c>
      <c r="E93">
        <v>75645.23</v>
      </c>
      <c r="F93">
        <v>9674</v>
      </c>
      <c r="G93">
        <v>0.23400000000000001</v>
      </c>
      <c r="H93">
        <v>21</v>
      </c>
      <c r="I93">
        <v>87.4</v>
      </c>
      <c r="J93">
        <v>0.2</v>
      </c>
      <c r="K93">
        <v>0</v>
      </c>
      <c r="L93">
        <v>4.5</v>
      </c>
      <c r="M93">
        <v>785028.25</v>
      </c>
      <c r="N93">
        <v>110726.44</v>
      </c>
      <c r="O93">
        <f>IF($D93="High Street",1,0)</f>
        <v>1</v>
      </c>
      <c r="P93">
        <f>IF($D93="Mall",1,0)</f>
        <v>0</v>
      </c>
      <c r="Q93">
        <f>IF($D93="Airport",1,0)</f>
        <v>0</v>
      </c>
      <c r="R93">
        <f>IF($C93="North",1,0)</f>
        <v>0</v>
      </c>
      <c r="S93">
        <f>IF($C93="South",1,0)</f>
        <v>0</v>
      </c>
      <c r="T93">
        <f>IF($C93="East",1,0)</f>
        <v>1</v>
      </c>
      <c r="U93">
        <f>66915.46892+(1.209928492*E93)+(27.33619482*F93)+(-41243.14883*G93)+(3508.399163*H93)+(3062.210286*I93)+(-3438.10791*J93)+(15157.28728*K93)+(12509.46131*L93)+(20219.25907*O93)+(32832.85351*P93)+(44695.0949*Q93)+(-15342.70531*R93)+(-4201.853217*S93)+(-25291.41891*T93)</f>
        <v>805086.59573575319</v>
      </c>
      <c r="V93">
        <f>M93-U93</f>
        <v>-20058.345735753188</v>
      </c>
      <c r="W93">
        <f>V93^2</f>
        <v>402337233.65500808</v>
      </c>
    </row>
    <row r="94" spans="1:23">
      <c r="A94" t="s">
        <v>77</v>
      </c>
      <c r="B94" s="2">
        <v>45748</v>
      </c>
      <c r="C94" t="s">
        <v>15</v>
      </c>
      <c r="D94" t="s">
        <v>18</v>
      </c>
      <c r="E94">
        <v>73540.990000000005</v>
      </c>
      <c r="F94">
        <v>8773</v>
      </c>
      <c r="G94">
        <v>3.5000000000000003E-2</v>
      </c>
      <c r="H94">
        <v>21</v>
      </c>
      <c r="I94">
        <v>84.4</v>
      </c>
      <c r="J94">
        <v>6.68</v>
      </c>
      <c r="K94">
        <v>0</v>
      </c>
      <c r="L94">
        <v>3.6</v>
      </c>
      <c r="M94">
        <v>723531.4</v>
      </c>
      <c r="N94">
        <v>108794.85</v>
      </c>
      <c r="O94">
        <f>IF($D94="High Street",1,0)</f>
        <v>1</v>
      </c>
      <c r="P94">
        <f>IF($D94="Mall",1,0)</f>
        <v>0</v>
      </c>
      <c r="Q94">
        <f>IF($D94="Airport",1,0)</f>
        <v>0</v>
      </c>
      <c r="R94">
        <f>IF($C94="North",1,0)</f>
        <v>0</v>
      </c>
      <c r="S94">
        <f>IF($C94="South",1,0)</f>
        <v>0</v>
      </c>
      <c r="T94">
        <f>IF($C94="East",1,0)</f>
        <v>1</v>
      </c>
      <c r="U94">
        <f>66915.46892+(1.209928492*E94)+(27.33619482*F94)+(-41243.14883*G94)+(3508.399163*H94)+(3062.210286*I94)+(-3438.10791*J94)+(15157.28728*K94)+(12509.46131*L94)+(20219.25907*O94)+(32832.85351*P94)+(44695.0949*Q94)+(-15342.70531*R94)+(-4201.853217*S94)+(-25291.41891*T94)</f>
        <v>743394.00559629721</v>
      </c>
      <c r="V94">
        <f>M94-U94</f>
        <v>-19862.605596297188</v>
      </c>
      <c r="W94">
        <f>V94^2</f>
        <v>394523101.07405639</v>
      </c>
    </row>
    <row r="95" spans="1:23">
      <c r="A95" t="s">
        <v>68</v>
      </c>
      <c r="B95" s="2">
        <v>45658</v>
      </c>
      <c r="C95" t="s">
        <v>20</v>
      </c>
      <c r="D95" t="s">
        <v>18</v>
      </c>
      <c r="E95">
        <v>71941.62</v>
      </c>
      <c r="F95">
        <v>6084</v>
      </c>
      <c r="G95">
        <v>7.1999999999999995E-2</v>
      </c>
      <c r="H95">
        <v>13</v>
      </c>
      <c r="I95">
        <v>93.7</v>
      </c>
      <c r="J95">
        <v>2.34</v>
      </c>
      <c r="K95">
        <v>0</v>
      </c>
      <c r="L95">
        <v>4.4000000000000004</v>
      </c>
      <c r="M95">
        <v>681855.56</v>
      </c>
      <c r="N95">
        <v>117645.61</v>
      </c>
      <c r="O95">
        <f>IF($D95="High Street",1,0)</f>
        <v>1</v>
      </c>
      <c r="P95">
        <f>IF($D95="Mall",1,0)</f>
        <v>0</v>
      </c>
      <c r="Q95">
        <f>IF($D95="Airport",1,0)</f>
        <v>0</v>
      </c>
      <c r="R95">
        <f>IF($C95="North",1,0)</f>
        <v>1</v>
      </c>
      <c r="S95">
        <f>IF($C95="South",1,0)</f>
        <v>0</v>
      </c>
      <c r="T95">
        <f>IF($C95="East",1,0)</f>
        <v>0</v>
      </c>
      <c r="U95">
        <f>66915.46892+(1.209928492*E95)+(27.33619482*F95)+(-41243.14883*G95)+(3508.399163*H95)+(3062.210286*I95)+(-3438.10791*J95)+(15157.28728*K95)+(12509.46131*L95)+(20219.25907*O95)+(32832.85351*P95)+(44695.0949*Q95)+(-15342.70531*R95)+(-4201.853217*S95)+(-25291.41891*T95)</f>
        <v>701714.89121955703</v>
      </c>
      <c r="V95">
        <f>M95-U95</f>
        <v>-19859.331219556974</v>
      </c>
      <c r="W95">
        <f>V95^2</f>
        <v>394393036.48807031</v>
      </c>
    </row>
    <row r="96" spans="1:23">
      <c r="A96" t="s">
        <v>39</v>
      </c>
      <c r="B96" s="2">
        <v>45689</v>
      </c>
      <c r="C96" t="s">
        <v>15</v>
      </c>
      <c r="D96" t="s">
        <v>18</v>
      </c>
      <c r="E96">
        <v>36813.449999999997</v>
      </c>
      <c r="F96">
        <v>2834</v>
      </c>
      <c r="G96">
        <v>0.191</v>
      </c>
      <c r="H96">
        <v>11</v>
      </c>
      <c r="I96">
        <v>81.8</v>
      </c>
      <c r="J96">
        <v>2.33</v>
      </c>
      <c r="K96">
        <v>0</v>
      </c>
      <c r="L96">
        <v>3.3</v>
      </c>
      <c r="M96">
        <v>479050.5</v>
      </c>
      <c r="N96">
        <v>53651.11</v>
      </c>
      <c r="O96">
        <f>IF($D96="High Street",1,0)</f>
        <v>1</v>
      </c>
      <c r="P96">
        <f>IF($D96="Mall",1,0)</f>
        <v>0</v>
      </c>
      <c r="Q96">
        <f>IF($D96="Airport",1,0)</f>
        <v>0</v>
      </c>
      <c r="R96">
        <f>IF($C96="North",1,0)</f>
        <v>0</v>
      </c>
      <c r="S96">
        <f>IF($C96="South",1,0)</f>
        <v>0</v>
      </c>
      <c r="T96">
        <f>IF($C96="East",1,0)</f>
        <v>1</v>
      </c>
      <c r="U96">
        <f>66915.46892+(1.209928492*E96)+(27.33619482*F96)+(-41243.14883*G96)+(3508.399163*H96)+(3062.210286*I96)+(-3438.10791*J96)+(15157.28728*K96)+(12509.46131*L96)+(20219.25907*O96)+(32832.85351*P96)+(44695.0949*Q96)+(-15342.70531*R96)+(-4201.853217*S96)+(-25291.41891*T96)</f>
        <v>498329.90889766742</v>
      </c>
      <c r="V96">
        <f>M96-U96</f>
        <v>-19279.408897667425</v>
      </c>
      <c r="W96">
        <f>V96^2</f>
        <v>371695607.44345784</v>
      </c>
    </row>
    <row r="97" spans="1:23">
      <c r="A97" t="s">
        <v>45</v>
      </c>
      <c r="B97" s="2">
        <v>45658</v>
      </c>
      <c r="C97" t="s">
        <v>27</v>
      </c>
      <c r="D97" t="s">
        <v>16</v>
      </c>
      <c r="E97">
        <v>38966.589999999997</v>
      </c>
      <c r="F97">
        <v>4509</v>
      </c>
      <c r="G97">
        <v>0.19400000000000001</v>
      </c>
      <c r="H97">
        <v>14</v>
      </c>
      <c r="I97">
        <v>91.1</v>
      </c>
      <c r="J97">
        <v>2.92</v>
      </c>
      <c r="K97">
        <v>0</v>
      </c>
      <c r="L97">
        <v>4.5999999999999996</v>
      </c>
      <c r="M97">
        <v>585937.48</v>
      </c>
      <c r="N97">
        <v>82624.2</v>
      </c>
      <c r="O97">
        <f>IF($D97="High Street",1,0)</f>
        <v>0</v>
      </c>
      <c r="P97">
        <f>IF($D97="Mall",1,0)</f>
        <v>0</v>
      </c>
      <c r="Q97">
        <f>IF($D97="Airport",1,0)</f>
        <v>0</v>
      </c>
      <c r="R97">
        <f>IF($C97="North",1,0)</f>
        <v>0</v>
      </c>
      <c r="S97">
        <f>IF($C97="South",1,0)</f>
        <v>0</v>
      </c>
      <c r="T97">
        <f>IF($C97="East",1,0)</f>
        <v>0</v>
      </c>
      <c r="U97">
        <f>66915.46892+(1.209928492*E97)+(27.33619482*F97)+(-41243.14883*G97)+(3508.399163*H97)+(3062.210286*I97)+(-3438.10791*J97)+(15157.28728*K97)+(12509.46131*L97)+(20219.25907*O97)+(32832.85351*P97)+(44695.0949*Q97)+(-15342.70531*R97)+(-4201.853217*S97)+(-25291.41891*T97)</f>
        <v>604909.18023284234</v>
      </c>
      <c r="V97">
        <f>M97-U97</f>
        <v>-18971.700232842355</v>
      </c>
      <c r="W97">
        <f>V97^2</f>
        <v>359925409.72483069</v>
      </c>
    </row>
    <row r="98" spans="1:23">
      <c r="A98" t="s">
        <v>96</v>
      </c>
      <c r="B98" s="2">
        <v>45717</v>
      </c>
      <c r="C98" t="s">
        <v>27</v>
      </c>
      <c r="D98" t="s">
        <v>18</v>
      </c>
      <c r="E98">
        <v>46174.7</v>
      </c>
      <c r="F98">
        <v>4898</v>
      </c>
      <c r="G98">
        <v>0.114</v>
      </c>
      <c r="H98">
        <v>11</v>
      </c>
      <c r="I98">
        <v>91.7</v>
      </c>
      <c r="J98">
        <v>3.75</v>
      </c>
      <c r="K98">
        <v>0</v>
      </c>
      <c r="L98">
        <v>3.1</v>
      </c>
      <c r="M98">
        <v>599017.32999999996</v>
      </c>
      <c r="N98">
        <v>134009.92000000001</v>
      </c>
      <c r="O98">
        <f>IF($D98="High Street",1,0)</f>
        <v>1</v>
      </c>
      <c r="P98">
        <f>IF($D98="Mall",1,0)</f>
        <v>0</v>
      </c>
      <c r="Q98">
        <f>IF($D98="Airport",1,0)</f>
        <v>0</v>
      </c>
      <c r="R98">
        <f>IF($C98="North",1,0)</f>
        <v>0</v>
      </c>
      <c r="S98">
        <f>IF($C98="South",1,0)</f>
        <v>0</v>
      </c>
      <c r="T98">
        <f>IF($C98="East",1,0)</f>
        <v>0</v>
      </c>
      <c r="U98">
        <f>66915.46892+(1.209928492*E98)+(27.33619482*F98)+(-41243.14883*G98)+(3508.399163*H98)+(3062.210286*I98)+(-3438.10791*J98)+(15157.28728*K98)+(12509.46131*L98)+(20219.25907*O98)+(32832.85351*P98)+(44695.0949*Q98)+(-15342.70531*R98)+(-4201.853217*S98)+(-25291.41891*T98)</f>
        <v>617477.27580899245</v>
      </c>
      <c r="V98">
        <f>M98-U98</f>
        <v>-18459.945808992488</v>
      </c>
      <c r="W98">
        <f>V98^2</f>
        <v>340769599.27093935</v>
      </c>
    </row>
    <row r="99" spans="1:23">
      <c r="A99" t="s">
        <v>14</v>
      </c>
      <c r="B99" s="2">
        <v>45658</v>
      </c>
      <c r="C99" t="s">
        <v>15</v>
      </c>
      <c r="D99" t="s">
        <v>16</v>
      </c>
      <c r="E99">
        <v>70389.11</v>
      </c>
      <c r="F99">
        <v>8302</v>
      </c>
      <c r="G99">
        <v>4.2000000000000003E-2</v>
      </c>
      <c r="H99">
        <v>17</v>
      </c>
      <c r="I99">
        <v>75</v>
      </c>
      <c r="J99">
        <v>5.28</v>
      </c>
      <c r="K99">
        <v>1</v>
      </c>
      <c r="L99">
        <v>3.1</v>
      </c>
      <c r="M99">
        <v>658832.62</v>
      </c>
      <c r="N99">
        <v>84349.93</v>
      </c>
      <c r="O99">
        <f>IF($D99="High Street",1,0)</f>
        <v>0</v>
      </c>
      <c r="P99">
        <f>IF($D99="Mall",1,0)</f>
        <v>0</v>
      </c>
      <c r="Q99">
        <f>IF($D99="Airport",1,0)</f>
        <v>0</v>
      </c>
      <c r="R99">
        <f>IF($C99="North",1,0)</f>
        <v>0</v>
      </c>
      <c r="S99">
        <f>IF($C99="South",1,0)</f>
        <v>0</v>
      </c>
      <c r="T99">
        <f>IF($C99="East",1,0)</f>
        <v>1</v>
      </c>
      <c r="U99">
        <f>66915.46892+(1.209928492*E99)+(27.33619482*F99)+(-41243.14883*G99)+(3508.399163*H99)+(3062.210286*I99)+(-3438.10791*J99)+(15157.28728*K99)+(12509.46131*L99)+(20219.25907*O99)+(32832.85351*P99)+(44695.0949*Q99)+(-15342.70531*R99)+(-4201.853217*S99)+(-25291.41891*T99)</f>
        <v>677094.68166750204</v>
      </c>
      <c r="V99">
        <f>M99-U99</f>
        <v>-18262.061667502043</v>
      </c>
      <c r="W99">
        <f>V99^2</f>
        <v>333502896.34764749</v>
      </c>
    </row>
    <row r="100" spans="1:23">
      <c r="A100" t="s">
        <v>53</v>
      </c>
      <c r="B100" s="2">
        <v>45748</v>
      </c>
      <c r="C100" t="s">
        <v>24</v>
      </c>
      <c r="D100" t="s">
        <v>18</v>
      </c>
      <c r="E100">
        <v>37828.5</v>
      </c>
      <c r="F100">
        <v>8221</v>
      </c>
      <c r="G100">
        <v>9.6000000000000002E-2</v>
      </c>
      <c r="H100">
        <v>19</v>
      </c>
      <c r="I100">
        <v>81.5</v>
      </c>
      <c r="J100">
        <v>3.19</v>
      </c>
      <c r="K100">
        <v>0</v>
      </c>
      <c r="L100">
        <v>4.8</v>
      </c>
      <c r="M100">
        <v>697155.3</v>
      </c>
      <c r="N100">
        <v>136408.54</v>
      </c>
      <c r="O100">
        <f>IF($D100="High Street",1,0)</f>
        <v>1</v>
      </c>
      <c r="P100">
        <f>IF($D100="Mall",1,0)</f>
        <v>0</v>
      </c>
      <c r="Q100">
        <f>IF($D100="Airport",1,0)</f>
        <v>0</v>
      </c>
      <c r="R100">
        <f>IF($C100="North",1,0)</f>
        <v>0</v>
      </c>
      <c r="S100">
        <f>IF($C100="South",1,0)</f>
        <v>1</v>
      </c>
      <c r="T100">
        <f>IF($C100="East",1,0)</f>
        <v>0</v>
      </c>
      <c r="U100">
        <f>66915.46892+(1.209928492*E100)+(27.33619482*F100)+(-41243.14883*G100)+(3508.399163*H100)+(3062.210286*I100)+(-3438.10791*J100)+(15157.28728*K100)+(12509.46131*L100)+(20219.25907*O100)+(32832.85351*P100)+(44695.0949*Q100)+(-15342.70531*R100)+(-4201.853217*S100)+(-25291.41891*T100)</f>
        <v>714781.74252126191</v>
      </c>
      <c r="V100">
        <f>M100-U100</f>
        <v>-17626.442521261866</v>
      </c>
      <c r="W100">
        <f>V100^2</f>
        <v>310691475.95534837</v>
      </c>
    </row>
    <row r="101" spans="1:23">
      <c r="A101" t="s">
        <v>93</v>
      </c>
      <c r="B101" s="2">
        <v>45717</v>
      </c>
      <c r="C101" t="s">
        <v>27</v>
      </c>
      <c r="D101" t="s">
        <v>16</v>
      </c>
      <c r="E101">
        <v>55371.97</v>
      </c>
      <c r="F101">
        <v>4162</v>
      </c>
      <c r="G101">
        <v>0.183</v>
      </c>
      <c r="H101">
        <v>11</v>
      </c>
      <c r="I101">
        <v>92</v>
      </c>
      <c r="J101">
        <v>0.2</v>
      </c>
      <c r="K101">
        <v>1</v>
      </c>
      <c r="L101">
        <v>4.2</v>
      </c>
      <c r="M101">
        <v>609949</v>
      </c>
      <c r="N101">
        <v>126789.25</v>
      </c>
      <c r="O101">
        <f>IF($D101="High Street",1,0)</f>
        <v>0</v>
      </c>
      <c r="P101">
        <f>IF($D101="Mall",1,0)</f>
        <v>0</v>
      </c>
      <c r="Q101">
        <f>IF($D101="Airport",1,0)</f>
        <v>0</v>
      </c>
      <c r="R101">
        <f>IF($C101="North",1,0)</f>
        <v>0</v>
      </c>
      <c r="S101">
        <f>IF($C101="South",1,0)</f>
        <v>0</v>
      </c>
      <c r="T101">
        <f>IF($C101="East",1,0)</f>
        <v>0</v>
      </c>
      <c r="U101">
        <f>66915.46892+(1.209928492*E101)+(27.33619482*F101)+(-41243.14883*G101)+(3508.399163*H101)+(3062.210286*I101)+(-3438.10791*J101)+(15157.28728*K101)+(12509.46131*L101)+(20219.25907*O101)+(32832.85351*P101)+(44695.0949*Q101)+(-15342.70531*R101)+(-4201.853217*S101)+(-25291.41891*T101)</f>
        <v>627462.47999111935</v>
      </c>
      <c r="V101">
        <f>M101-U101</f>
        <v>-17513.479991119355</v>
      </c>
      <c r="W101">
        <f>V101^2</f>
        <v>306721981.39933801</v>
      </c>
    </row>
    <row r="102" spans="1:23">
      <c r="A102" t="s">
        <v>14</v>
      </c>
      <c r="B102" s="2">
        <v>45717</v>
      </c>
      <c r="C102" t="s">
        <v>15</v>
      </c>
      <c r="D102" t="s">
        <v>16</v>
      </c>
      <c r="E102">
        <v>59921.75</v>
      </c>
      <c r="F102">
        <v>9113</v>
      </c>
      <c r="G102">
        <v>0.13300000000000001</v>
      </c>
      <c r="H102">
        <v>20</v>
      </c>
      <c r="I102">
        <v>88</v>
      </c>
      <c r="J102">
        <v>12</v>
      </c>
      <c r="K102">
        <v>0</v>
      </c>
      <c r="L102">
        <v>3.2</v>
      </c>
      <c r="M102">
        <v>678722.06</v>
      </c>
      <c r="N102">
        <v>101883.86</v>
      </c>
      <c r="O102">
        <f>IF($D102="High Street",1,0)</f>
        <v>0</v>
      </c>
      <c r="P102">
        <f>IF($D102="Mall",1,0)</f>
        <v>0</v>
      </c>
      <c r="Q102">
        <f>IF($D102="Airport",1,0)</f>
        <v>0</v>
      </c>
      <c r="R102">
        <f>IF($C102="North",1,0)</f>
        <v>0</v>
      </c>
      <c r="S102">
        <f>IF($C102="South",1,0)</f>
        <v>0</v>
      </c>
      <c r="T102">
        <f>IF($C102="East",1,0)</f>
        <v>1</v>
      </c>
      <c r="U102">
        <f>66915.46892+(1.209928492*E102)+(27.33619482*F102)+(-41243.14883*G102)+(3508.399163*H102)+(3062.210286*I102)+(-3438.10791*J102)+(15157.28728*K102)+(12509.46131*L102)+(20219.25907*O102)+(32832.85351*P102)+(44695.0949*Q102)+(-15342.70531*R102)+(-4201.853217*S102)+(-25291.41891*T102)</f>
        <v>696169.95692577108</v>
      </c>
      <c r="V102">
        <f>M102-U102</f>
        <v>-17447.896925771027</v>
      </c>
      <c r="W102">
        <f>V102^2</f>
        <v>304429107.13233006</v>
      </c>
    </row>
    <row r="103" spans="1:23">
      <c r="A103" t="s">
        <v>63</v>
      </c>
      <c r="B103" s="2">
        <v>45689</v>
      </c>
      <c r="C103" t="s">
        <v>20</v>
      </c>
      <c r="D103" t="s">
        <v>28</v>
      </c>
      <c r="E103">
        <v>35303.300000000003</v>
      </c>
      <c r="F103">
        <v>8789</v>
      </c>
      <c r="G103">
        <v>0.123</v>
      </c>
      <c r="H103">
        <v>22</v>
      </c>
      <c r="I103">
        <v>86.1</v>
      </c>
      <c r="J103">
        <v>9.43</v>
      </c>
      <c r="K103">
        <v>0</v>
      </c>
      <c r="L103">
        <v>4.2</v>
      </c>
      <c r="M103">
        <v>706285.52</v>
      </c>
      <c r="N103">
        <v>138014.72</v>
      </c>
      <c r="O103">
        <f>IF($D103="High Street",1,0)</f>
        <v>0</v>
      </c>
      <c r="P103">
        <f>IF($D103="Mall",1,0)</f>
        <v>1</v>
      </c>
      <c r="Q103">
        <f>IF($D103="Airport",1,0)</f>
        <v>0</v>
      </c>
      <c r="R103">
        <f>IF($C103="North",1,0)</f>
        <v>1</v>
      </c>
      <c r="S103">
        <f>IF($C103="South",1,0)</f>
        <v>0</v>
      </c>
      <c r="T103">
        <f>IF($C103="East",1,0)</f>
        <v>0</v>
      </c>
      <c r="U103">
        <f>66915.46892+(1.209928492*E103)+(27.33619482*F103)+(-41243.14883*G103)+(3508.399163*H103)+(3062.210286*I103)+(-3438.10791*J103)+(15157.28728*K103)+(12509.46131*L103)+(20219.25907*O103)+(32832.85351*P103)+(44695.0949*Q103)+(-15342.70531*R103)+(-4201.853217*S103)+(-25291.41891*T103)</f>
        <v>723264.46173981356</v>
      </c>
      <c r="V103">
        <f>M103-U103</f>
        <v>-16978.941739813541</v>
      </c>
      <c r="W103">
        <f>V103^2</f>
        <v>288284462.60398245</v>
      </c>
    </row>
    <row r="104" spans="1:23">
      <c r="A104" t="s">
        <v>75</v>
      </c>
      <c r="B104" s="2">
        <v>45717</v>
      </c>
      <c r="C104" t="s">
        <v>27</v>
      </c>
      <c r="D104" t="s">
        <v>16</v>
      </c>
      <c r="E104">
        <v>35296.54</v>
      </c>
      <c r="F104">
        <v>9644</v>
      </c>
      <c r="G104">
        <v>0</v>
      </c>
      <c r="H104">
        <v>22</v>
      </c>
      <c r="I104">
        <v>88</v>
      </c>
      <c r="J104">
        <v>2.81</v>
      </c>
      <c r="K104">
        <v>0</v>
      </c>
      <c r="L104">
        <v>4.7</v>
      </c>
      <c r="M104">
        <v>752321.72</v>
      </c>
      <c r="N104">
        <v>137788.51</v>
      </c>
      <c r="O104">
        <f>IF($D104="High Street",1,0)</f>
        <v>0</v>
      </c>
      <c r="P104">
        <f>IF($D104="Mall",1,0)</f>
        <v>0</v>
      </c>
      <c r="Q104">
        <f>IF($D104="Airport",1,0)</f>
        <v>0</v>
      </c>
      <c r="R104">
        <f>IF($C104="North",1,0)</f>
        <v>0</v>
      </c>
      <c r="S104">
        <f>IF($C104="South",1,0)</f>
        <v>0</v>
      </c>
      <c r="T104">
        <f>IF($C104="East",1,0)</f>
        <v>0</v>
      </c>
      <c r="U104">
        <f>66915.46892+(1.209928492*E104)+(27.33619482*F104)+(-41243.14883*G104)+(3508.399163*H104)+(3062.210286*I104)+(-3438.10791*J104)+(15157.28728*K104)+(12509.46131*L104)+(20219.25907*O104)+(32832.85351*P104)+(44695.0949*Q104)+(-15342.70531*R104)+(-4201.853217*S104)+(-25291.41891*T104)</f>
        <v>769044.69286299776</v>
      </c>
      <c r="V104">
        <f>M104-U104</f>
        <v>-16722.972862997791</v>
      </c>
      <c r="W104">
        <f>V104^2</f>
        <v>279657821.37656051</v>
      </c>
    </row>
    <row r="105" spans="1:23">
      <c r="A105" t="s">
        <v>100</v>
      </c>
      <c r="B105" s="2">
        <v>45689</v>
      </c>
      <c r="C105" t="s">
        <v>20</v>
      </c>
      <c r="D105" t="s">
        <v>16</v>
      </c>
      <c r="E105">
        <v>46767.99</v>
      </c>
      <c r="F105">
        <v>7973</v>
      </c>
      <c r="G105">
        <v>0.183</v>
      </c>
      <c r="H105">
        <v>18</v>
      </c>
      <c r="I105">
        <v>94.8</v>
      </c>
      <c r="J105">
        <v>4.67</v>
      </c>
      <c r="K105">
        <v>0</v>
      </c>
      <c r="L105">
        <v>3.9</v>
      </c>
      <c r="M105">
        <v>688368.46</v>
      </c>
      <c r="N105">
        <v>93588.42</v>
      </c>
      <c r="O105">
        <f>IF($D105="High Street",1,0)</f>
        <v>0</v>
      </c>
      <c r="P105">
        <f>IF($D105="Mall",1,0)</f>
        <v>0</v>
      </c>
      <c r="Q105">
        <f>IF($D105="Airport",1,0)</f>
        <v>0</v>
      </c>
      <c r="R105">
        <f>IF($C105="North",1,0)</f>
        <v>1</v>
      </c>
      <c r="S105">
        <f>IF($C105="South",1,0)</f>
        <v>0</v>
      </c>
      <c r="T105">
        <f>IF($C105="East",1,0)</f>
        <v>0</v>
      </c>
      <c r="U105">
        <f>66915.46892+(1.209928492*E105)+(27.33619482*F105)+(-41243.14883*G105)+(3508.399163*H105)+(3062.210286*I105)+(-3438.10791*J105)+(15157.28728*K105)+(12509.46131*L105)+(20219.25907*O105)+(32832.85351*P105)+(44695.0949*Q105)+(-15342.70531*R105)+(-4201.853217*S105)+(-25291.41891*T105)</f>
        <v>704742.32750464103</v>
      </c>
      <c r="V105">
        <f>M105-U105</f>
        <v>-16373.867504641064</v>
      </c>
      <c r="W105">
        <f>V105^2</f>
        <v>268103537.0595406</v>
      </c>
    </row>
    <row r="106" spans="1:23">
      <c r="A106" t="s">
        <v>91</v>
      </c>
      <c r="B106" s="2">
        <v>45748</v>
      </c>
      <c r="C106" t="s">
        <v>24</v>
      </c>
      <c r="D106" t="s">
        <v>16</v>
      </c>
      <c r="E106">
        <v>70284.06</v>
      </c>
      <c r="F106">
        <v>9109</v>
      </c>
      <c r="G106">
        <v>4.0000000000000001E-3</v>
      </c>
      <c r="H106">
        <v>23</v>
      </c>
      <c r="I106">
        <v>87</v>
      </c>
      <c r="J106">
        <v>3.65</v>
      </c>
      <c r="K106">
        <v>0</v>
      </c>
      <c r="L106">
        <v>3.7</v>
      </c>
      <c r="M106">
        <v>761122.42</v>
      </c>
      <c r="N106">
        <v>149802.04</v>
      </c>
      <c r="O106">
        <f>IF($D106="High Street",1,0)</f>
        <v>0</v>
      </c>
      <c r="P106">
        <f>IF($D106="Mall",1,0)</f>
        <v>0</v>
      </c>
      <c r="Q106">
        <f>IF($D106="Airport",1,0)</f>
        <v>0</v>
      </c>
      <c r="R106">
        <f>IF($C106="North",1,0)</f>
        <v>0</v>
      </c>
      <c r="S106">
        <f>IF($C106="South",1,0)</f>
        <v>1</v>
      </c>
      <c r="T106">
        <f>IF($C106="East",1,0)</f>
        <v>0</v>
      </c>
      <c r="U106">
        <f>66915.46892+(1.209928492*E106)+(27.33619482*F106)+(-41243.14883*G106)+(3508.399163*H106)+(3062.210286*I106)+(-3438.10791*J106)+(15157.28728*K106)+(12509.46131*L106)+(20219.25907*O106)+(32832.85351*P106)+(44695.0949*Q106)+(-15342.70531*R106)+(-4201.853217*S106)+(-25291.41891*T106)</f>
        <v>777434.11705699749</v>
      </c>
      <c r="V106">
        <f>M106-U106</f>
        <v>-16311.697056997451</v>
      </c>
      <c r="W106">
        <f>V106^2</f>
        <v>266071460.87925932</v>
      </c>
    </row>
    <row r="107" spans="1:23">
      <c r="A107" t="s">
        <v>91</v>
      </c>
      <c r="B107" s="2">
        <v>45658</v>
      </c>
      <c r="C107" t="s">
        <v>24</v>
      </c>
      <c r="D107" t="s">
        <v>16</v>
      </c>
      <c r="E107">
        <v>61784.11</v>
      </c>
      <c r="F107">
        <v>8564</v>
      </c>
      <c r="G107">
        <v>0.13</v>
      </c>
      <c r="H107">
        <v>17</v>
      </c>
      <c r="I107">
        <v>87.4</v>
      </c>
      <c r="J107">
        <v>18.14</v>
      </c>
      <c r="K107">
        <v>1</v>
      </c>
      <c r="L107">
        <v>3.4</v>
      </c>
      <c r="M107">
        <v>673076.34</v>
      </c>
      <c r="N107">
        <v>93899.76</v>
      </c>
      <c r="O107">
        <f>IF($D107="High Street",1,0)</f>
        <v>0</v>
      </c>
      <c r="P107">
        <f>IF($D107="Mall",1,0)</f>
        <v>0</v>
      </c>
      <c r="Q107">
        <f>IF($D107="Airport",1,0)</f>
        <v>0</v>
      </c>
      <c r="R107">
        <f>IF($C107="North",1,0)</f>
        <v>0</v>
      </c>
      <c r="S107">
        <f>IF($C107="South",1,0)</f>
        <v>1</v>
      </c>
      <c r="T107">
        <f>IF($C107="East",1,0)</f>
        <v>0</v>
      </c>
      <c r="U107">
        <f>66915.46892+(1.209928492*E107)+(27.33619482*F107)+(-41243.14883*G107)+(3508.399163*H107)+(3062.210286*I107)+(-3438.10791*J107)+(15157.28728*K107)+(12509.46131*L107)+(20219.25907*O107)+(32832.85351*P107)+(44695.0949*Q107)+(-15342.70531*R107)+(-4201.853217*S107)+(-25291.41891*T107)</f>
        <v>688815.67684944218</v>
      </c>
      <c r="V107">
        <f>M107-U107</f>
        <v>-15739.336849442217</v>
      </c>
      <c r="W107">
        <f>V107^2</f>
        <v>247726724.46020967</v>
      </c>
    </row>
    <row r="108" spans="1:23">
      <c r="A108" t="s">
        <v>29</v>
      </c>
      <c r="B108" s="2">
        <v>45717</v>
      </c>
      <c r="C108" t="s">
        <v>15</v>
      </c>
      <c r="D108" t="s">
        <v>16</v>
      </c>
      <c r="E108">
        <v>44970.080000000002</v>
      </c>
      <c r="F108">
        <v>2471</v>
      </c>
      <c r="G108">
        <v>0.13600000000000001</v>
      </c>
      <c r="H108">
        <v>11</v>
      </c>
      <c r="I108">
        <v>87.6</v>
      </c>
      <c r="J108">
        <v>3.01</v>
      </c>
      <c r="K108">
        <v>1</v>
      </c>
      <c r="L108">
        <v>3.7</v>
      </c>
      <c r="M108">
        <v>500173.02</v>
      </c>
      <c r="N108">
        <v>70982.05</v>
      </c>
      <c r="O108">
        <f>IF($D108="High Street",1,0)</f>
        <v>0</v>
      </c>
      <c r="P108">
        <f>IF($D108="Mall",1,0)</f>
        <v>0</v>
      </c>
      <c r="Q108">
        <f>IF($D108="Airport",1,0)</f>
        <v>0</v>
      </c>
      <c r="R108">
        <f>IF($C108="North",1,0)</f>
        <v>0</v>
      </c>
      <c r="S108">
        <f>IF($C108="South",1,0)</f>
        <v>0</v>
      </c>
      <c r="T108">
        <f>IF($C108="East",1,0)</f>
        <v>1</v>
      </c>
      <c r="U108">
        <f>66915.46892+(1.209928492*E108)+(27.33619482*F108)+(-41243.14883*G108)+(3508.399163*H108)+(3062.210286*I108)+(-3438.10791*J108)+(15157.28728*K108)+(12509.46131*L108)+(20219.25907*O108)+(32832.85351*P108)+(44695.0949*Q108)+(-15342.70531*R108)+(-4201.853217*S108)+(-25291.41891*T108)</f>
        <v>515908.90141335933</v>
      </c>
      <c r="V108">
        <f>M108-U108</f>
        <v>-15735.881413359311</v>
      </c>
      <c r="W108">
        <f>V108^2</f>
        <v>247617963.85530704</v>
      </c>
    </row>
    <row r="109" spans="1:23">
      <c r="A109" t="s">
        <v>58</v>
      </c>
      <c r="B109" s="2">
        <v>45658</v>
      </c>
      <c r="C109" t="s">
        <v>20</v>
      </c>
      <c r="D109" t="s">
        <v>16</v>
      </c>
      <c r="E109">
        <v>70488.2</v>
      </c>
      <c r="F109">
        <v>4312</v>
      </c>
      <c r="G109">
        <v>0.16900000000000001</v>
      </c>
      <c r="H109">
        <v>12</v>
      </c>
      <c r="I109">
        <v>90.2</v>
      </c>
      <c r="J109">
        <v>3.71</v>
      </c>
      <c r="K109">
        <v>0</v>
      </c>
      <c r="L109">
        <v>3.2</v>
      </c>
      <c r="M109">
        <v>577732.56999999995</v>
      </c>
      <c r="N109">
        <v>93804.27</v>
      </c>
      <c r="O109">
        <f>IF($D109="High Street",1,0)</f>
        <v>0</v>
      </c>
      <c r="P109">
        <f>IF($D109="Mall",1,0)</f>
        <v>0</v>
      </c>
      <c r="Q109">
        <f>IF($D109="Airport",1,0)</f>
        <v>0</v>
      </c>
      <c r="R109">
        <f>IF($C109="North",1,0)</f>
        <v>1</v>
      </c>
      <c r="S109">
        <f>IF($C109="South",1,0)</f>
        <v>0</v>
      </c>
      <c r="T109">
        <f>IF($C109="East",1,0)</f>
        <v>0</v>
      </c>
      <c r="U109">
        <f>66915.46892+(1.209928492*E109)+(27.33619482*F109)+(-41243.14883*G109)+(3508.399163*H109)+(3062.210286*I109)+(-3438.10791*J109)+(15157.28728*K109)+(12509.46131*L109)+(20219.25907*O109)+(32832.85351*P109)+(44695.0949*Q109)+(-15342.70531*R109)+(-4201.853217*S109)+(-25291.41891*T109)</f>
        <v>593349.07865046442</v>
      </c>
      <c r="V109">
        <f>M109-U109</f>
        <v>-15616.508650464471</v>
      </c>
      <c r="W109">
        <f>V109^2</f>
        <v>243875342.43003166</v>
      </c>
    </row>
    <row r="110" spans="1:23">
      <c r="A110" t="s">
        <v>82</v>
      </c>
      <c r="B110" s="2">
        <v>45717</v>
      </c>
      <c r="C110" t="s">
        <v>24</v>
      </c>
      <c r="D110" t="s">
        <v>21</v>
      </c>
      <c r="E110">
        <v>70799.64</v>
      </c>
      <c r="F110">
        <v>10076</v>
      </c>
      <c r="G110">
        <v>0.152</v>
      </c>
      <c r="H110">
        <v>24</v>
      </c>
      <c r="I110">
        <v>84.8</v>
      </c>
      <c r="J110">
        <v>1.87</v>
      </c>
      <c r="K110">
        <v>0</v>
      </c>
      <c r="L110">
        <v>3.5</v>
      </c>
      <c r="M110">
        <v>828219.67</v>
      </c>
      <c r="N110">
        <v>179806.87</v>
      </c>
      <c r="O110">
        <f>IF($D110="High Street",1,0)</f>
        <v>0</v>
      </c>
      <c r="P110">
        <f>IF($D110="Mall",1,0)</f>
        <v>0</v>
      </c>
      <c r="Q110">
        <f>IF($D110="Airport",1,0)</f>
        <v>1</v>
      </c>
      <c r="R110">
        <f>IF($C110="North",1,0)</f>
        <v>0</v>
      </c>
      <c r="S110">
        <f>IF($C110="South",1,0)</f>
        <v>1</v>
      </c>
      <c r="T110">
        <f>IF($C110="East",1,0)</f>
        <v>0</v>
      </c>
      <c r="U110">
        <f>66915.46892+(1.209928492*E110)+(27.33619482*F110)+(-41243.14883*G110)+(3508.399163*H110)+(3062.210286*I110)+(-3438.10791*J110)+(15157.28728*K110)+(12509.46131*L110)+(20219.25907*O110)+(32832.85351*P110)+(44695.0949*Q110)+(-15342.70531*R110)+(-4201.853217*S110)+(-25291.41891*T110)</f>
        <v>843472.61760460271</v>
      </c>
      <c r="V110">
        <f>M110-U110</f>
        <v>-15252.947604602668</v>
      </c>
      <c r="W110">
        <f>V110^2</f>
        <v>232652410.62875429</v>
      </c>
    </row>
    <row r="111" spans="1:23">
      <c r="A111" t="s">
        <v>51</v>
      </c>
      <c r="B111" s="2">
        <v>45658</v>
      </c>
      <c r="C111" t="s">
        <v>27</v>
      </c>
      <c r="D111" t="s">
        <v>16</v>
      </c>
      <c r="E111">
        <v>43685.14</v>
      </c>
      <c r="F111">
        <v>7821</v>
      </c>
      <c r="G111">
        <v>0.19</v>
      </c>
      <c r="H111">
        <v>17</v>
      </c>
      <c r="I111">
        <v>91</v>
      </c>
      <c r="J111">
        <v>2.4900000000000002</v>
      </c>
      <c r="K111">
        <v>1</v>
      </c>
      <c r="L111">
        <v>4.7</v>
      </c>
      <c r="M111">
        <v>714942.43</v>
      </c>
      <c r="N111">
        <v>94697.71</v>
      </c>
      <c r="O111">
        <f>IF($D111="High Street",1,0)</f>
        <v>0</v>
      </c>
      <c r="P111">
        <f>IF($D111="Mall",1,0)</f>
        <v>0</v>
      </c>
      <c r="Q111">
        <f>IF($D111="Airport",1,0)</f>
        <v>0</v>
      </c>
      <c r="R111">
        <f>IF($C111="North",1,0)</f>
        <v>0</v>
      </c>
      <c r="S111">
        <f>IF($C111="South",1,0)</f>
        <v>0</v>
      </c>
      <c r="T111">
        <f>IF($C111="East",1,0)</f>
        <v>0</v>
      </c>
      <c r="U111">
        <f>66915.46892+(1.209928492*E111)+(27.33619482*F111)+(-41243.14883*G111)+(3508.399163*H111)+(3062.210286*I111)+(-3438.10791*J111)+(15157.28728*K111)+(12509.46131*L111)+(20219.25907*O111)+(32832.85351*P111)+(44695.0949*Q111)+(-15342.70531*R111)+(-4201.853217*S111)+(-25291.41891*T111)</f>
        <v>729426.33443062904</v>
      </c>
      <c r="V111">
        <f>M111-U111</f>
        <v>-14483.904430628987</v>
      </c>
      <c r="W111">
        <f>V111^2</f>
        <v>209783487.555594</v>
      </c>
    </row>
    <row r="112" spans="1:23">
      <c r="A112" t="s">
        <v>29</v>
      </c>
      <c r="B112" s="2">
        <v>45748</v>
      </c>
      <c r="C112" t="s">
        <v>15</v>
      </c>
      <c r="D112" t="s">
        <v>16</v>
      </c>
      <c r="E112">
        <v>69816.350000000006</v>
      </c>
      <c r="F112">
        <v>971</v>
      </c>
      <c r="G112">
        <v>0.16800000000000001</v>
      </c>
      <c r="H112">
        <v>5</v>
      </c>
      <c r="I112">
        <v>89.9</v>
      </c>
      <c r="J112">
        <v>12.15</v>
      </c>
      <c r="K112">
        <v>0</v>
      </c>
      <c r="L112">
        <v>3.6</v>
      </c>
      <c r="M112">
        <v>427917.38</v>
      </c>
      <c r="N112">
        <v>81824.31</v>
      </c>
      <c r="O112">
        <f>IF($D112="High Street",1,0)</f>
        <v>0</v>
      </c>
      <c r="P112">
        <f>IF($D112="Mall",1,0)</f>
        <v>0</v>
      </c>
      <c r="Q112">
        <f>IF($D112="Airport",1,0)</f>
        <v>0</v>
      </c>
      <c r="R112">
        <f>IF($C112="North",1,0)</f>
        <v>0</v>
      </c>
      <c r="S112">
        <f>IF($C112="South",1,0)</f>
        <v>0</v>
      </c>
      <c r="T112">
        <f>IF($C112="East",1,0)</f>
        <v>1</v>
      </c>
      <c r="U112">
        <f>66915.46892+(1.209928492*E112)+(27.33619482*F112)+(-41243.14883*G112)+(3508.399163*H112)+(3062.210286*I112)+(-3438.10791*J112)+(15157.28728*K112)+(12509.46131*L112)+(20219.25907*O112)+(32832.85351*P112)+(44695.0949*Q112)+(-15342.70531*R112)+(-4201.853217*S112)+(-25291.41891*T112)</f>
        <v>441807.18738512415</v>
      </c>
      <c r="V112">
        <f>M112-U112</f>
        <v>-13889.80738512415</v>
      </c>
      <c r="W112">
        <f>V112^2</f>
        <v>192926749.19584936</v>
      </c>
    </row>
    <row r="113" spans="1:23">
      <c r="A113" t="s">
        <v>99</v>
      </c>
      <c r="B113" s="2">
        <v>45658</v>
      </c>
      <c r="C113" t="s">
        <v>24</v>
      </c>
      <c r="D113" t="s">
        <v>18</v>
      </c>
      <c r="E113">
        <v>48465.599999999999</v>
      </c>
      <c r="F113">
        <v>5759</v>
      </c>
      <c r="G113">
        <v>0.154</v>
      </c>
      <c r="H113">
        <v>13</v>
      </c>
      <c r="I113">
        <v>87.5</v>
      </c>
      <c r="J113">
        <v>4.1399999999999997</v>
      </c>
      <c r="K113">
        <v>0</v>
      </c>
      <c r="L113">
        <v>4</v>
      </c>
      <c r="M113">
        <v>628538.30000000005</v>
      </c>
      <c r="N113">
        <v>112509.15</v>
      </c>
      <c r="O113">
        <f>IF($D113="High Street",1,0)</f>
        <v>1</v>
      </c>
      <c r="P113">
        <f>IF($D113="Mall",1,0)</f>
        <v>0</v>
      </c>
      <c r="Q113">
        <f>IF($D113="Airport",1,0)</f>
        <v>0</v>
      </c>
      <c r="R113">
        <f>IF($C113="North",1,0)</f>
        <v>0</v>
      </c>
      <c r="S113">
        <f>IF($C113="South",1,0)</f>
        <v>1</v>
      </c>
      <c r="T113">
        <f>IF($C113="East",1,0)</f>
        <v>0</v>
      </c>
      <c r="U113">
        <f>66915.46892+(1.209928492*E113)+(27.33619482*F113)+(-41243.14883*G113)+(3508.399163*H113)+(3062.210286*I113)+(-3438.10791*J113)+(15157.28728*K113)+(12509.46131*L113)+(20219.25907*O113)+(32832.85351*P113)+(44695.0949*Q113)+(-15342.70531*R113)+(-4201.853217*S113)+(-25291.41891*T113)</f>
        <v>642007.15378003521</v>
      </c>
      <c r="V113">
        <f>M113-U113</f>
        <v>-13468.853780035162</v>
      </c>
      <c r="W113">
        <f>V113^2</f>
        <v>181410022.14796749</v>
      </c>
    </row>
    <row r="114" spans="1:23">
      <c r="A114" t="s">
        <v>48</v>
      </c>
      <c r="B114" s="2">
        <v>45689</v>
      </c>
      <c r="C114" t="s">
        <v>27</v>
      </c>
      <c r="D114" t="s">
        <v>18</v>
      </c>
      <c r="E114">
        <v>74679.350000000006</v>
      </c>
      <c r="F114">
        <v>8739</v>
      </c>
      <c r="G114">
        <v>5.6000000000000001E-2</v>
      </c>
      <c r="H114">
        <v>21</v>
      </c>
      <c r="I114">
        <v>91.8</v>
      </c>
      <c r="J114">
        <v>2.83</v>
      </c>
      <c r="K114">
        <v>0</v>
      </c>
      <c r="L114">
        <v>3</v>
      </c>
      <c r="M114">
        <v>783797.89</v>
      </c>
      <c r="N114">
        <v>157620.70000000001</v>
      </c>
      <c r="O114">
        <f>IF($D114="High Street",1,0)</f>
        <v>1</v>
      </c>
      <c r="P114">
        <f>IF($D114="Mall",1,0)</f>
        <v>0</v>
      </c>
      <c r="Q114">
        <f>IF($D114="Airport",1,0)</f>
        <v>0</v>
      </c>
      <c r="R114">
        <f>IF($C114="North",1,0)</f>
        <v>0</v>
      </c>
      <c r="S114">
        <f>IF($C114="South",1,0)</f>
        <v>0</v>
      </c>
      <c r="T114">
        <f>IF($C114="East",1,0)</f>
        <v>0</v>
      </c>
      <c r="U114">
        <f>66915.46892+(1.209928492*E114)+(27.33619482*F114)+(-41243.14883*G114)+(3508.399163*H114)+(3062.210286*I114)+(-3438.10791*J114)+(15157.28728*K114)+(12509.46131*L114)+(20219.25907*O114)+(32832.85351*P114)+(44695.0949*Q114)+(-15342.70531*R114)+(-4201.853217*S114)+(-25291.41891*T114)</f>
        <v>796658.61673904024</v>
      </c>
      <c r="V114">
        <f>M114-U114</f>
        <v>-12860.726739040227</v>
      </c>
      <c r="W114">
        <f>V114^2</f>
        <v>165398292.25626427</v>
      </c>
    </row>
    <row r="115" spans="1:23">
      <c r="A115" t="s">
        <v>31</v>
      </c>
      <c r="B115" s="2">
        <v>45717</v>
      </c>
      <c r="C115" t="s">
        <v>20</v>
      </c>
      <c r="D115" t="s">
        <v>28</v>
      </c>
      <c r="E115">
        <v>93381.26</v>
      </c>
      <c r="F115">
        <v>7562</v>
      </c>
      <c r="G115">
        <v>0.19800000000000001</v>
      </c>
      <c r="H115">
        <v>19</v>
      </c>
      <c r="I115">
        <v>82.9</v>
      </c>
      <c r="J115">
        <v>5.05</v>
      </c>
      <c r="K115">
        <v>0</v>
      </c>
      <c r="L115">
        <v>4</v>
      </c>
      <c r="M115">
        <v>736633.4</v>
      </c>
      <c r="N115">
        <v>115654.66</v>
      </c>
      <c r="O115">
        <f>IF($D115="High Street",1,0)</f>
        <v>0</v>
      </c>
      <c r="P115">
        <f>IF($D115="Mall",1,0)</f>
        <v>1</v>
      </c>
      <c r="Q115">
        <f>IF($D115="Airport",1,0)</f>
        <v>0</v>
      </c>
      <c r="R115">
        <f>IF($C115="North",1,0)</f>
        <v>1</v>
      </c>
      <c r="S115">
        <f>IF($C115="South",1,0)</f>
        <v>0</v>
      </c>
      <c r="T115">
        <f>IF($C115="East",1,0)</f>
        <v>0</v>
      </c>
      <c r="U115">
        <f>66915.46892+(1.209928492*E115)+(27.33619482*F115)+(-41243.14883*G115)+(3508.399163*H115)+(3062.210286*I115)+(-3438.10791*J115)+(15157.28728*K115)+(12509.46131*L115)+(20219.25907*O115)+(32832.85351*P115)+(44695.0949*Q115)+(-15342.70531*R115)+(-4201.853217*S115)+(-25291.41891*T115)</f>
        <v>749132.64307426009</v>
      </c>
      <c r="V115">
        <f>M115-U115</f>
        <v>-12499.24307426007</v>
      </c>
      <c r="W115">
        <f>V115^2</f>
        <v>156231077.42943832</v>
      </c>
    </row>
    <row r="116" spans="1:23">
      <c r="A116" t="s">
        <v>95</v>
      </c>
      <c r="B116" s="2">
        <v>45689</v>
      </c>
      <c r="C116" t="s">
        <v>27</v>
      </c>
      <c r="D116" t="s">
        <v>18</v>
      </c>
      <c r="E116">
        <v>40102.879999999997</v>
      </c>
      <c r="F116">
        <v>2358</v>
      </c>
      <c r="G116">
        <v>0.11899999999999999</v>
      </c>
      <c r="H116">
        <v>9</v>
      </c>
      <c r="I116">
        <v>88.7</v>
      </c>
      <c r="J116">
        <v>1.6</v>
      </c>
      <c r="K116">
        <v>0</v>
      </c>
      <c r="L116">
        <v>4.2</v>
      </c>
      <c r="M116">
        <v>533121.26</v>
      </c>
      <c r="N116">
        <v>55063.39</v>
      </c>
      <c r="O116">
        <f>IF($D116="High Street",1,0)</f>
        <v>1</v>
      </c>
      <c r="P116">
        <f>IF($D116="Mall",1,0)</f>
        <v>0</v>
      </c>
      <c r="Q116">
        <f>IF($D116="Airport",1,0)</f>
        <v>0</v>
      </c>
      <c r="R116">
        <f>IF($C116="North",1,0)</f>
        <v>0</v>
      </c>
      <c r="S116">
        <f>IF($C116="South",1,0)</f>
        <v>0</v>
      </c>
      <c r="T116">
        <f>IF($C116="East",1,0)</f>
        <v>0</v>
      </c>
      <c r="U116">
        <f>66915.46892+(1.209928492*E116)+(27.33619482*F116)+(-41243.14883*G116)+(3508.399163*H116)+(3062.210286*I116)+(-3438.10791*J116)+(15157.28728*K116)+(12509.46131*L116)+(20219.25907*O116)+(32832.85351*P116)+(44695.0949*Q116)+(-15342.70531*R116)+(-4201.853217*S116)+(-25291.41891*T116)</f>
        <v>545439.56746924703</v>
      </c>
      <c r="V116">
        <f>M116-U116</f>
        <v>-12318.307469247025</v>
      </c>
      <c r="W116">
        <f>V116^2</f>
        <v>151740698.90690705</v>
      </c>
    </row>
    <row r="117" spans="1:23">
      <c r="A117" t="s">
        <v>89</v>
      </c>
      <c r="B117" s="2">
        <v>45717</v>
      </c>
      <c r="C117" t="s">
        <v>15</v>
      </c>
      <c r="D117" t="s">
        <v>28</v>
      </c>
      <c r="E117">
        <v>61995.3</v>
      </c>
      <c r="F117">
        <v>10192</v>
      </c>
      <c r="G117">
        <v>0.19800000000000001</v>
      </c>
      <c r="H117">
        <v>21</v>
      </c>
      <c r="I117">
        <v>87.6</v>
      </c>
      <c r="J117">
        <v>3.63</v>
      </c>
      <c r="K117">
        <v>1</v>
      </c>
      <c r="L117">
        <v>3.8</v>
      </c>
      <c r="M117">
        <v>799756.46</v>
      </c>
      <c r="N117">
        <v>105052.93</v>
      </c>
      <c r="O117">
        <f>IF($D117="High Street",1,0)</f>
        <v>0</v>
      </c>
      <c r="P117">
        <f>IF($D117="Mall",1,0)</f>
        <v>1</v>
      </c>
      <c r="Q117">
        <f>IF($D117="Airport",1,0)</f>
        <v>0</v>
      </c>
      <c r="R117">
        <f>IF($C117="North",1,0)</f>
        <v>0</v>
      </c>
      <c r="S117">
        <f>IF($C117="South",1,0)</f>
        <v>0</v>
      </c>
      <c r="T117">
        <f>IF($C117="East",1,0)</f>
        <v>1</v>
      </c>
      <c r="U117">
        <f>66915.46892+(1.209928492*E117)+(27.33619482*F117)+(-41243.14883*G117)+(3508.399163*H117)+(3062.210286*I117)+(-3438.10791*J117)+(15157.28728*K117)+(12509.46131*L117)+(20219.25907*O117)+(32832.85351*P117)+(44695.0949*Q117)+(-15342.70531*R117)+(-4201.853217*S117)+(-25291.41891*T117)</f>
        <v>812050.04951848777</v>
      </c>
      <c r="V117">
        <f>M117-U117</f>
        <v>-12293.589518487803</v>
      </c>
      <c r="W117">
        <f>V117^2</f>
        <v>151132343.24907318</v>
      </c>
    </row>
    <row r="118" spans="1:23">
      <c r="A118" t="s">
        <v>63</v>
      </c>
      <c r="B118" s="2">
        <v>45717</v>
      </c>
      <c r="C118" t="s">
        <v>20</v>
      </c>
      <c r="D118" t="s">
        <v>28</v>
      </c>
      <c r="E118">
        <v>30301.86</v>
      </c>
      <c r="F118">
        <v>6939</v>
      </c>
      <c r="G118">
        <v>0.09</v>
      </c>
      <c r="H118">
        <v>16</v>
      </c>
      <c r="I118">
        <v>90.3</v>
      </c>
      <c r="J118">
        <v>3.49</v>
      </c>
      <c r="K118">
        <v>0</v>
      </c>
      <c r="L118">
        <v>4</v>
      </c>
      <c r="M118">
        <v>665534.69999999995</v>
      </c>
      <c r="N118">
        <v>113167.73</v>
      </c>
      <c r="O118">
        <f>IF($D118="High Street",1,0)</f>
        <v>0</v>
      </c>
      <c r="P118">
        <f>IF($D118="Mall",1,0)</f>
        <v>1</v>
      </c>
      <c r="Q118">
        <f>IF($D118="Airport",1,0)</f>
        <v>0</v>
      </c>
      <c r="R118">
        <f>IF($C118="North",1,0)</f>
        <v>1</v>
      </c>
      <c r="S118">
        <f>IF($C118="South",1,0)</f>
        <v>0</v>
      </c>
      <c r="T118">
        <f>IF($C118="East",1,0)</f>
        <v>0</v>
      </c>
      <c r="U118">
        <f>66915.46892+(1.209928492*E118)+(27.33619482*F118)+(-41243.14883*G118)+(3508.399163*H118)+(3062.210286*I118)+(-3438.10791*J118)+(15157.28728*K118)+(12509.46131*L118)+(20219.25907*O118)+(32832.85351*P118)+(44695.0949*Q118)+(-15342.70531*R118)+(-4201.853217*S118)+(-25291.41891*T118)</f>
        <v>677733.49742377526</v>
      </c>
      <c r="V118">
        <f>M118-U118</f>
        <v>-12198.797423775308</v>
      </c>
      <c r="W118">
        <f>V118^2</f>
        <v>148810658.58630708</v>
      </c>
    </row>
    <row r="119" spans="1:23">
      <c r="A119" t="s">
        <v>17</v>
      </c>
      <c r="B119" s="2">
        <v>45689</v>
      </c>
      <c r="C119" t="s">
        <v>15</v>
      </c>
      <c r="D119" t="s">
        <v>18</v>
      </c>
      <c r="E119">
        <v>64811.21</v>
      </c>
      <c r="F119">
        <v>9792</v>
      </c>
      <c r="G119">
        <v>0.112</v>
      </c>
      <c r="H119">
        <v>20</v>
      </c>
      <c r="I119">
        <v>84.2</v>
      </c>
      <c r="J119">
        <v>2.88</v>
      </c>
      <c r="K119">
        <v>0</v>
      </c>
      <c r="L119">
        <v>4.2</v>
      </c>
      <c r="M119">
        <v>761835.34</v>
      </c>
      <c r="N119">
        <v>149602.23000000001</v>
      </c>
      <c r="O119">
        <f>IF($D119="High Street",1,0)</f>
        <v>1</v>
      </c>
      <c r="P119">
        <f>IF($D119="Mall",1,0)</f>
        <v>0</v>
      </c>
      <c r="Q119">
        <f>IF($D119="Airport",1,0)</f>
        <v>0</v>
      </c>
      <c r="R119">
        <f>IF($C119="North",1,0)</f>
        <v>0</v>
      </c>
      <c r="S119">
        <f>IF($C119="South",1,0)</f>
        <v>0</v>
      </c>
      <c r="T119">
        <f>IF($C119="East",1,0)</f>
        <v>1</v>
      </c>
      <c r="U119">
        <f>66915.46892+(1.209928492*E119)+(27.33619482*F119)+(-41243.14883*G119)+(3508.399163*H119)+(3062.210286*I119)+(-3438.10791*J119)+(15157.28728*K119)+(12509.46131*L119)+(20219.25907*O119)+(32832.85351*P119)+(44695.0949*Q119)+(-15342.70531*R119)+(-4201.853217*S119)+(-25291.41891*T119)</f>
        <v>773961.10173087532</v>
      </c>
      <c r="V119">
        <f>M119-U119</f>
        <v>-12125.761730875354</v>
      </c>
      <c r="W119">
        <f>V119^2</f>
        <v>147034097.55396128</v>
      </c>
    </row>
    <row r="120" spans="1:23">
      <c r="A120" t="s">
        <v>97</v>
      </c>
      <c r="B120" s="2">
        <v>45689</v>
      </c>
      <c r="C120" t="s">
        <v>20</v>
      </c>
      <c r="D120" t="s">
        <v>28</v>
      </c>
      <c r="E120">
        <v>63986.98</v>
      </c>
      <c r="F120">
        <v>7989</v>
      </c>
      <c r="G120">
        <v>7.3999999999999996E-2</v>
      </c>
      <c r="H120">
        <v>20</v>
      </c>
      <c r="I120">
        <v>83.3</v>
      </c>
      <c r="J120">
        <v>3.6</v>
      </c>
      <c r="K120">
        <v>0</v>
      </c>
      <c r="L120">
        <v>3.7</v>
      </c>
      <c r="M120">
        <v>724346.73</v>
      </c>
      <c r="N120">
        <v>155013.91</v>
      </c>
      <c r="O120">
        <f>IF($D120="High Street",1,0)</f>
        <v>0</v>
      </c>
      <c r="P120">
        <f>IF($D120="Mall",1,0)</f>
        <v>1</v>
      </c>
      <c r="Q120">
        <f>IF($D120="Airport",1,0)</f>
        <v>0</v>
      </c>
      <c r="R120">
        <f>IF($C120="North",1,0)</f>
        <v>1</v>
      </c>
      <c r="S120">
        <f>IF($C120="South",1,0)</f>
        <v>0</v>
      </c>
      <c r="T120">
        <f>IF($C120="East",1,0)</f>
        <v>0</v>
      </c>
      <c r="U120">
        <f>66915.46892+(1.209928492*E120)+(27.33619482*F120)+(-41243.14883*G120)+(3508.399163*H120)+(3062.210286*I120)+(-3438.10791*J120)+(15157.28728*K120)+(12509.46131*L120)+(20219.25907*O120)+(32832.85351*P120)+(44695.0949*Q120)+(-15342.70531*R120)+(-4201.853217*S120)+(-25291.41891*T120)</f>
        <v>736320.07319739414</v>
      </c>
      <c r="V120">
        <f>M120-U120</f>
        <v>-11973.343197394162</v>
      </c>
      <c r="W120">
        <f>V120^2</f>
        <v>143360947.32258508</v>
      </c>
    </row>
    <row r="121" spans="1:23">
      <c r="A121" t="s">
        <v>25</v>
      </c>
      <c r="B121" s="2">
        <v>45689</v>
      </c>
      <c r="C121" t="s">
        <v>20</v>
      </c>
      <c r="D121" t="s">
        <v>16</v>
      </c>
      <c r="E121">
        <v>33518.879999999997</v>
      </c>
      <c r="F121">
        <v>2121</v>
      </c>
      <c r="G121">
        <v>0.17599999999999999</v>
      </c>
      <c r="H121">
        <v>8</v>
      </c>
      <c r="I121">
        <v>88.5</v>
      </c>
      <c r="J121">
        <v>0.2</v>
      </c>
      <c r="K121">
        <v>0</v>
      </c>
      <c r="L121">
        <v>5</v>
      </c>
      <c r="M121">
        <v>491905.13</v>
      </c>
      <c r="N121">
        <v>79212.259999999995</v>
      </c>
      <c r="O121">
        <f>IF($D121="High Street",1,0)</f>
        <v>0</v>
      </c>
      <c r="P121">
        <f>IF($D121="Mall",1,0)</f>
        <v>0</v>
      </c>
      <c r="Q121">
        <f>IF($D121="Airport",1,0)</f>
        <v>0</v>
      </c>
      <c r="R121">
        <f>IF($C121="North",1,0)</f>
        <v>1</v>
      </c>
      <c r="S121">
        <f>IF($C121="South",1,0)</f>
        <v>0</v>
      </c>
      <c r="T121">
        <f>IF($C121="East",1,0)</f>
        <v>0</v>
      </c>
      <c r="U121">
        <f>66915.46892+(1.209928492*E121)+(27.33619482*F121)+(-41243.14883*G121)+(3508.399163*H121)+(3062.210286*I121)+(-3438.10791*J121)+(15157.28728*K121)+(12509.46131*L121)+(20219.25907*O121)+(32832.85351*P121)+(44695.0949*Q121)+(-15342.70531*R121)+(-4201.853217*S121)+(-25291.41891*T121)</f>
        <v>503781.975144069</v>
      </c>
      <c r="V121">
        <f>M121-U121</f>
        <v>-11876.845144068997</v>
      </c>
      <c r="W121">
        <f>V121^2</f>
        <v>141059450.5761953</v>
      </c>
    </row>
    <row r="122" spans="1:23">
      <c r="A122" t="s">
        <v>23</v>
      </c>
      <c r="B122" s="2">
        <v>45658</v>
      </c>
      <c r="C122" t="s">
        <v>24</v>
      </c>
      <c r="D122" t="s">
        <v>16</v>
      </c>
      <c r="E122">
        <v>48804.22</v>
      </c>
      <c r="F122">
        <v>7057</v>
      </c>
      <c r="G122">
        <v>5.0000000000000001E-3</v>
      </c>
      <c r="H122">
        <v>15</v>
      </c>
      <c r="I122">
        <v>87.7</v>
      </c>
      <c r="J122">
        <v>1.22</v>
      </c>
      <c r="K122">
        <v>0</v>
      </c>
      <c r="L122">
        <v>3.7</v>
      </c>
      <c r="M122">
        <v>666152.52</v>
      </c>
      <c r="N122">
        <v>107490.58</v>
      </c>
      <c r="O122">
        <f>IF($D122="High Street",1,0)</f>
        <v>0</v>
      </c>
      <c r="P122">
        <f>IF($D122="Mall",1,0)</f>
        <v>0</v>
      </c>
      <c r="Q122">
        <f>IF($D122="Airport",1,0)</f>
        <v>0</v>
      </c>
      <c r="R122">
        <f>IF($C122="North",1,0)</f>
        <v>0</v>
      </c>
      <c r="S122">
        <f>IF($C122="South",1,0)</f>
        <v>1</v>
      </c>
      <c r="T122">
        <f>IF($C122="East",1,0)</f>
        <v>0</v>
      </c>
      <c r="U122">
        <f>66915.46892+(1.209928492*E122)+(27.33619482*F122)+(-41243.14883*G122)+(3508.399163*H122)+(3062.210286*I122)+(-3438.10791*J122)+(15157.28728*K122)+(12509.46131*L122)+(20219.25907*O122)+(32832.85351*P122)+(44695.0949*Q122)+(-15342.70531*R122)+(-4201.853217*S122)+(-25291.41891*T122)</f>
        <v>677740.88783542614</v>
      </c>
      <c r="V122">
        <f>M122-U122</f>
        <v>-11588.367835426121</v>
      </c>
      <c r="W122">
        <f>V122^2</f>
        <v>134290269.08913869</v>
      </c>
    </row>
    <row r="123" spans="1:23">
      <c r="A123" t="s">
        <v>87</v>
      </c>
      <c r="B123" s="2">
        <v>45689</v>
      </c>
      <c r="C123" t="s">
        <v>27</v>
      </c>
      <c r="D123" t="s">
        <v>18</v>
      </c>
      <c r="E123">
        <v>43288.2</v>
      </c>
      <c r="F123">
        <v>4783</v>
      </c>
      <c r="G123">
        <v>0.16900000000000001</v>
      </c>
      <c r="H123">
        <v>13</v>
      </c>
      <c r="I123">
        <v>87.3</v>
      </c>
      <c r="J123">
        <v>3.3650000000000002</v>
      </c>
      <c r="K123">
        <v>0</v>
      </c>
      <c r="L123">
        <v>4.2</v>
      </c>
      <c r="M123">
        <v>605751.32999999996</v>
      </c>
      <c r="N123">
        <v>60685.53</v>
      </c>
      <c r="O123">
        <f>IF($D123="High Street",1,0)</f>
        <v>1</v>
      </c>
      <c r="P123">
        <f>IF($D123="Mall",1,0)</f>
        <v>0</v>
      </c>
      <c r="Q123">
        <f>IF($D123="Airport",1,0)</f>
        <v>0</v>
      </c>
      <c r="R123">
        <f>IF($C123="North",1,0)</f>
        <v>0</v>
      </c>
      <c r="S123">
        <f>IF($C123="South",1,0)</f>
        <v>0</v>
      </c>
      <c r="T123">
        <f>IF($C123="East",1,0)</f>
        <v>0</v>
      </c>
      <c r="U123">
        <f>66915.46892+(1.209928492*E123)+(27.33619482*F123)+(-41243.14883*G123)+(3508.399163*H123)+(3062.210286*I123)+(-3438.10791*J123)+(15157.28728*K123)+(12509.46131*L123)+(20219.25907*O123)+(32832.85351*P123)+(44695.0949*Q123)+(-15342.70531*R123)+(-4201.853217*S123)+(-25291.41891*T123)</f>
        <v>617199.93368083437</v>
      </c>
      <c r="V123">
        <f>M123-U123</f>
        <v>-11448.603680834407</v>
      </c>
      <c r="W123">
        <f>V123^2</f>
        <v>131070526.24081513</v>
      </c>
    </row>
    <row r="124" spans="1:23">
      <c r="A124" t="s">
        <v>84</v>
      </c>
      <c r="B124" s="2">
        <v>45689</v>
      </c>
      <c r="C124" t="s">
        <v>20</v>
      </c>
      <c r="D124" t="s">
        <v>18</v>
      </c>
      <c r="E124">
        <v>72932.55</v>
      </c>
      <c r="F124">
        <v>5765</v>
      </c>
      <c r="G124">
        <v>2.5999999999999999E-2</v>
      </c>
      <c r="H124">
        <v>17</v>
      </c>
      <c r="I124">
        <v>81.8</v>
      </c>
      <c r="J124">
        <v>5.0999999999999996</v>
      </c>
      <c r="K124">
        <v>0</v>
      </c>
      <c r="L124">
        <v>3.6</v>
      </c>
      <c r="M124">
        <v>642751.42000000004</v>
      </c>
      <c r="N124">
        <v>131942.15</v>
      </c>
      <c r="O124">
        <f>IF($D124="High Street",1,0)</f>
        <v>1</v>
      </c>
      <c r="P124">
        <f>IF($D124="Mall",1,0)</f>
        <v>0</v>
      </c>
      <c r="Q124">
        <f>IF($D124="Airport",1,0)</f>
        <v>0</v>
      </c>
      <c r="R124">
        <f>IF($C124="North",1,0)</f>
        <v>1</v>
      </c>
      <c r="S124">
        <f>IF($C124="South",1,0)</f>
        <v>0</v>
      </c>
      <c r="T124">
        <f>IF($C124="East",1,0)</f>
        <v>0</v>
      </c>
      <c r="U124">
        <f>66915.46892+(1.209928492*E124)+(27.33619482*F124)+(-41243.14883*G124)+(3508.399163*H124)+(3062.210286*I124)+(-3438.10791*J124)+(15157.28728*K124)+(12509.46131*L124)+(20219.25907*O124)+(32832.85351*P124)+(44695.0949*Q124)+(-15342.70531*R124)+(-4201.853217*S124)+(-25291.41891*T124)</f>
        <v>654187.33172773465</v>
      </c>
      <c r="V124">
        <f>M124-U124</f>
        <v>-11435.911727734609</v>
      </c>
      <c r="W124">
        <f>V124^2</f>
        <v>130780077.04453796</v>
      </c>
    </row>
    <row r="125" spans="1:23">
      <c r="A125" t="s">
        <v>81</v>
      </c>
      <c r="B125" s="2">
        <v>45717</v>
      </c>
      <c r="C125" t="s">
        <v>27</v>
      </c>
      <c r="D125" t="s">
        <v>28</v>
      </c>
      <c r="E125">
        <v>59060.05</v>
      </c>
      <c r="F125">
        <v>9702</v>
      </c>
      <c r="G125">
        <v>0.20100000000000001</v>
      </c>
      <c r="H125">
        <v>23</v>
      </c>
      <c r="I125">
        <v>80.900000000000006</v>
      </c>
      <c r="J125">
        <v>6.96</v>
      </c>
      <c r="K125">
        <v>0</v>
      </c>
      <c r="L125">
        <v>3.2</v>
      </c>
      <c r="M125">
        <v>761919.25</v>
      </c>
      <c r="N125">
        <v>111893.06</v>
      </c>
      <c r="O125">
        <f>IF($D125="High Street",1,0)</f>
        <v>0</v>
      </c>
      <c r="P125">
        <f>IF($D125="Mall",1,0)</f>
        <v>1</v>
      </c>
      <c r="Q125">
        <f>IF($D125="Airport",1,0)</f>
        <v>0</v>
      </c>
      <c r="R125">
        <f>IF($C125="North",1,0)</f>
        <v>0</v>
      </c>
      <c r="S125">
        <f>IF($C125="South",1,0)</f>
        <v>0</v>
      </c>
      <c r="T125">
        <f>IF($C125="East",1,0)</f>
        <v>0</v>
      </c>
      <c r="U125">
        <f>66915.46892+(1.209928492*E125)+(27.33619482*F125)+(-41243.14883*G125)+(3508.399163*H125)+(3062.210286*I125)+(-3438.10791*J125)+(15157.28728*K125)+(12509.46131*L125)+(20219.25907*O125)+(32832.85351*P125)+(44695.0949*Q125)+(-15342.70531*R125)+(-4201.853217*S125)+(-25291.41891*T125)</f>
        <v>772659.6869175547</v>
      </c>
      <c r="V125">
        <f>M125-U125</f>
        <v>-10740.436917554704</v>
      </c>
      <c r="W125">
        <f>V125^2</f>
        <v>115356985.17997198</v>
      </c>
    </row>
    <row r="126" spans="1:23">
      <c r="A126" t="s">
        <v>45</v>
      </c>
      <c r="B126" s="2">
        <v>45748</v>
      </c>
      <c r="C126" t="s">
        <v>27</v>
      </c>
      <c r="D126" t="s">
        <v>16</v>
      </c>
      <c r="E126">
        <v>9534.65</v>
      </c>
      <c r="F126">
        <v>6057</v>
      </c>
      <c r="G126">
        <v>7.3999999999999996E-2</v>
      </c>
      <c r="H126">
        <v>15</v>
      </c>
      <c r="I126">
        <v>94.1</v>
      </c>
      <c r="J126">
        <v>5.79</v>
      </c>
      <c r="K126">
        <v>0</v>
      </c>
      <c r="L126">
        <v>4.5</v>
      </c>
      <c r="M126">
        <v>607898.12</v>
      </c>
      <c r="N126">
        <v>135404.85</v>
      </c>
      <c r="O126">
        <f>IF($D126="High Street",1,0)</f>
        <v>0</v>
      </c>
      <c r="P126">
        <f>IF($D126="Mall",1,0)</f>
        <v>0</v>
      </c>
      <c r="Q126">
        <f>IF($D126="Airport",1,0)</f>
        <v>0</v>
      </c>
      <c r="R126">
        <f>IF($C126="North",1,0)</f>
        <v>0</v>
      </c>
      <c r="S126">
        <f>IF($C126="South",1,0)</f>
        <v>0</v>
      </c>
      <c r="T126">
        <f>IF($C126="East",1,0)</f>
        <v>0</v>
      </c>
      <c r="U126">
        <f>66915.46892+(1.209928492*E126)+(27.33619482*F126)+(-41243.14883*G126)+(3508.399163*H126)+(3062.210286*I126)+(-3438.10791*J126)+(15157.28728*K126)+(12509.46131*L126)+(20219.25907*O126)+(32832.85351*P126)+(44695.0949*Q126)+(-15342.70531*R126)+(-4201.853217*S126)+(-25291.41891*T126)</f>
        <v>618140.95908126782</v>
      </c>
      <c r="V126">
        <f>M126-U126</f>
        <v>-10242.839081267826</v>
      </c>
      <c r="W126">
        <f>V126^2</f>
        <v>104915752.44474752</v>
      </c>
    </row>
    <row r="127" spans="1:23">
      <c r="A127" t="s">
        <v>86</v>
      </c>
      <c r="B127" s="2">
        <v>45717</v>
      </c>
      <c r="C127" t="s">
        <v>24</v>
      </c>
      <c r="D127" t="s">
        <v>28</v>
      </c>
      <c r="E127">
        <v>44189.34</v>
      </c>
      <c r="F127">
        <v>8634</v>
      </c>
      <c r="G127">
        <v>0.14299999999999999</v>
      </c>
      <c r="H127">
        <v>19</v>
      </c>
      <c r="I127">
        <v>87.5</v>
      </c>
      <c r="J127">
        <v>3.69</v>
      </c>
      <c r="K127">
        <v>0</v>
      </c>
      <c r="L127">
        <v>4.4000000000000004</v>
      </c>
      <c r="M127">
        <v>746115.59</v>
      </c>
      <c r="N127">
        <v>94662.96</v>
      </c>
      <c r="O127">
        <f>IF($D127="High Street",1,0)</f>
        <v>0</v>
      </c>
      <c r="P127">
        <f>IF($D127="Mall",1,0)</f>
        <v>1</v>
      </c>
      <c r="Q127">
        <f>IF($D127="Airport",1,0)</f>
        <v>0</v>
      </c>
      <c r="R127">
        <f>IF($C127="North",1,0)</f>
        <v>0</v>
      </c>
      <c r="S127">
        <f>IF($C127="South",1,0)</f>
        <v>1</v>
      </c>
      <c r="T127">
        <f>IF($C127="East",1,0)</f>
        <v>0</v>
      </c>
      <c r="U127">
        <f>66915.46892+(1.209928492*E127)+(27.33619482*F127)+(-41243.14883*G127)+(3508.399163*H127)+(3062.210286*I127)+(-3438.10791*J127)+(15157.28728*K127)+(12509.46131*L127)+(20219.25907*O127)+(32832.85351*P127)+(44695.0949*Q127)+(-15342.70531*R127)+(-4201.853217*S127)+(-25291.41891*T127)</f>
        <v>756093.34221296525</v>
      </c>
      <c r="V127">
        <f>M127-U127</f>
        <v>-9977.7522129652789</v>
      </c>
      <c r="W127">
        <f>V127^2</f>
        <v>99555539.223333523</v>
      </c>
    </row>
    <row r="128" spans="1:23">
      <c r="A128" t="s">
        <v>60</v>
      </c>
      <c r="B128" s="2">
        <v>45748</v>
      </c>
      <c r="C128" t="s">
        <v>15</v>
      </c>
      <c r="D128" t="s">
        <v>18</v>
      </c>
      <c r="E128">
        <v>42698.14</v>
      </c>
      <c r="F128">
        <v>7693</v>
      </c>
      <c r="G128">
        <v>0.187</v>
      </c>
      <c r="H128">
        <v>19</v>
      </c>
      <c r="I128">
        <v>90.1</v>
      </c>
      <c r="J128">
        <v>0.44</v>
      </c>
      <c r="K128">
        <v>0</v>
      </c>
      <c r="L128">
        <v>4.4000000000000004</v>
      </c>
      <c r="M128">
        <v>702318.94</v>
      </c>
      <c r="N128">
        <v>112829.29</v>
      </c>
      <c r="O128">
        <f>IF($D128="High Street",1,0)</f>
        <v>1</v>
      </c>
      <c r="P128">
        <f>IF($D128="Mall",1,0)</f>
        <v>0</v>
      </c>
      <c r="Q128">
        <f>IF($D128="Airport",1,0)</f>
        <v>0</v>
      </c>
      <c r="R128">
        <f>IF($C128="North",1,0)</f>
        <v>0</v>
      </c>
      <c r="S128">
        <f>IF($C128="South",1,0)</f>
        <v>0</v>
      </c>
      <c r="T128">
        <f>IF($C128="East",1,0)</f>
        <v>1</v>
      </c>
      <c r="U128">
        <f>66915.46892+(1.209928492*E128)+(27.33619482*F128)+(-41243.14883*G128)+(3508.399163*H128)+(3062.210286*I128)+(-3438.10791*J128)+(15157.28728*K128)+(12509.46131*L128)+(20219.25907*O128)+(32832.85351*P128)+(44695.0949*Q128)+(-15342.70531*R128)+(-4201.853217*S128)+(-25291.41891*T128)</f>
        <v>712183.47628965485</v>
      </c>
      <c r="V128">
        <f>M128-U128</f>
        <v>-9864.536289654905</v>
      </c>
      <c r="W128">
        <f>V128^2</f>
        <v>97309076.209918559</v>
      </c>
    </row>
    <row r="129" spans="1:23">
      <c r="A129" t="s">
        <v>62</v>
      </c>
      <c r="B129" s="2">
        <v>45717</v>
      </c>
      <c r="C129" t="s">
        <v>24</v>
      </c>
      <c r="D129" t="s">
        <v>18</v>
      </c>
      <c r="E129">
        <v>57143.3</v>
      </c>
      <c r="F129">
        <v>8038</v>
      </c>
      <c r="G129">
        <v>0.193</v>
      </c>
      <c r="H129">
        <v>17</v>
      </c>
      <c r="I129">
        <v>72.599999999999994</v>
      </c>
      <c r="J129">
        <v>3.3650000000000002</v>
      </c>
      <c r="K129">
        <v>0</v>
      </c>
      <c r="L129">
        <v>4.2</v>
      </c>
      <c r="M129">
        <v>677096.71</v>
      </c>
      <c r="N129">
        <v>97174.11</v>
      </c>
      <c r="O129">
        <f>IF($D129="High Street",1,0)</f>
        <v>1</v>
      </c>
      <c r="P129">
        <f>IF($D129="Mall",1,0)</f>
        <v>0</v>
      </c>
      <c r="Q129">
        <f>IF($D129="Airport",1,0)</f>
        <v>0</v>
      </c>
      <c r="R129">
        <f>IF($C129="North",1,0)</f>
        <v>0</v>
      </c>
      <c r="S129">
        <f>IF($C129="South",1,0)</f>
        <v>1</v>
      </c>
      <c r="T129">
        <f>IF($C129="East",1,0)</f>
        <v>0</v>
      </c>
      <c r="U129">
        <f>66915.46892+(1.209928492*E129)+(27.33619482*F129)+(-41243.14883*G129)+(3508.399163*H129)+(3062.210286*I129)+(-3438.10791*J129)+(15157.28728*K129)+(12509.46131*L129)+(20219.25907*O129)+(32832.85351*P129)+(44695.0949*Q129)+(-15342.70531*R129)+(-4201.853217*S129)+(-25291.41891*T129)</f>
        <v>686770.34472832363</v>
      </c>
      <c r="V129">
        <f>M129-U129</f>
        <v>-9673.6347283236682</v>
      </c>
      <c r="W129">
        <f>V129^2</f>
        <v>93579208.857029736</v>
      </c>
    </row>
    <row r="130" spans="1:23">
      <c r="A130" t="s">
        <v>54</v>
      </c>
      <c r="B130" s="2">
        <v>45689</v>
      </c>
      <c r="C130" t="s">
        <v>15</v>
      </c>
      <c r="D130" t="s">
        <v>18</v>
      </c>
      <c r="E130">
        <v>68410.929999999993</v>
      </c>
      <c r="F130">
        <v>10596</v>
      </c>
      <c r="G130">
        <v>0.20699999999999999</v>
      </c>
      <c r="H130">
        <v>25</v>
      </c>
      <c r="I130">
        <v>81.2</v>
      </c>
      <c r="J130">
        <v>0.21</v>
      </c>
      <c r="K130">
        <v>0</v>
      </c>
      <c r="L130">
        <v>4</v>
      </c>
      <c r="M130">
        <v>801830.35</v>
      </c>
      <c r="N130">
        <v>114875.32</v>
      </c>
      <c r="O130">
        <f>IF($D130="High Street",1,0)</f>
        <v>1</v>
      </c>
      <c r="P130">
        <f>IF($D130="Mall",1,0)</f>
        <v>0</v>
      </c>
      <c r="Q130">
        <f>IF($D130="Airport",1,0)</f>
        <v>0</v>
      </c>
      <c r="R130">
        <f>IF($C130="North",1,0)</f>
        <v>0</v>
      </c>
      <c r="S130">
        <f>IF($C130="South",1,0)</f>
        <v>0</v>
      </c>
      <c r="T130">
        <f>IF($C130="East",1,0)</f>
        <v>1</v>
      </c>
      <c r="U130">
        <f>66915.46892+(1.209928492*E130)+(27.33619482*F130)+(-41243.14883*G130)+(3508.399163*H130)+(3062.210286*I130)+(-3438.10791*J130)+(15157.28728*K130)+(12509.46131*L130)+(20219.25907*O130)+(32832.85351*P130)+(44695.0949*Q130)+(-15342.70531*R130)+(-4201.853217*S130)+(-25291.41891*T130)</f>
        <v>811409.92783322756</v>
      </c>
      <c r="V130">
        <f>M130-U130</f>
        <v>-9579.5778332275804</v>
      </c>
      <c r="W130">
        <f>V130^2</f>
        <v>91768311.462865219</v>
      </c>
    </row>
    <row r="131" spans="1:23">
      <c r="A131" t="s">
        <v>66</v>
      </c>
      <c r="B131" s="2">
        <v>45658</v>
      </c>
      <c r="C131" t="s">
        <v>27</v>
      </c>
      <c r="D131" t="s">
        <v>21</v>
      </c>
      <c r="E131">
        <v>67494.09</v>
      </c>
      <c r="F131">
        <v>12361</v>
      </c>
      <c r="G131">
        <v>4.5999999999999999E-2</v>
      </c>
      <c r="H131">
        <v>24</v>
      </c>
      <c r="I131">
        <v>76.599999999999994</v>
      </c>
      <c r="J131">
        <v>3.65</v>
      </c>
      <c r="K131">
        <v>1</v>
      </c>
      <c r="L131">
        <v>3.7</v>
      </c>
      <c r="M131">
        <v>887537.75</v>
      </c>
      <c r="N131">
        <v>160362.92000000001</v>
      </c>
      <c r="O131">
        <f>IF($D131="High Street",1,0)</f>
        <v>0</v>
      </c>
      <c r="P131">
        <f>IF($D131="Mall",1,0)</f>
        <v>0</v>
      </c>
      <c r="Q131">
        <f>IF($D131="Airport",1,0)</f>
        <v>1</v>
      </c>
      <c r="R131">
        <f>IF($C131="North",1,0)</f>
        <v>0</v>
      </c>
      <c r="S131">
        <f>IF($C131="South",1,0)</f>
        <v>0</v>
      </c>
      <c r="T131">
        <f>IF($C131="East",1,0)</f>
        <v>0</v>
      </c>
      <c r="U131">
        <f>66915.46892+(1.209928492*E131)+(27.33619482*F131)+(-41243.14883*G131)+(3508.399163*H131)+(3062.210286*I131)+(-3438.10791*J131)+(15157.28728*K131)+(12509.46131*L131)+(20219.25907*O131)+(32832.85351*P131)+(44695.0949*Q131)+(-15342.70531*R131)+(-4201.853217*S131)+(-25291.41891*T131)</f>
        <v>896939.19375155226</v>
      </c>
      <c r="V131">
        <f>M131-U131</f>
        <v>-9401.4437515522586</v>
      </c>
      <c r="W131">
        <f>V131^2</f>
        <v>88387144.613601014</v>
      </c>
    </row>
    <row r="132" spans="1:23">
      <c r="A132" t="s">
        <v>65</v>
      </c>
      <c r="B132" s="2">
        <v>45689</v>
      </c>
      <c r="C132" t="s">
        <v>15</v>
      </c>
      <c r="D132" t="s">
        <v>16</v>
      </c>
      <c r="E132">
        <v>43645.98</v>
      </c>
      <c r="F132">
        <v>9480</v>
      </c>
      <c r="G132">
        <v>0.109</v>
      </c>
      <c r="H132">
        <v>22</v>
      </c>
      <c r="I132">
        <v>89</v>
      </c>
      <c r="J132">
        <v>2.11</v>
      </c>
      <c r="K132">
        <v>0</v>
      </c>
      <c r="L132">
        <v>3.1</v>
      </c>
      <c r="M132">
        <v>721364.11</v>
      </c>
      <c r="N132">
        <v>147272.81</v>
      </c>
      <c r="O132">
        <f>IF($D132="High Street",1,0)</f>
        <v>0</v>
      </c>
      <c r="P132">
        <f>IF($D132="Mall",1,0)</f>
        <v>0</v>
      </c>
      <c r="Q132">
        <f>IF($D132="Airport",1,0)</f>
        <v>0</v>
      </c>
      <c r="R132">
        <f>IF($C132="North",1,0)</f>
        <v>0</v>
      </c>
      <c r="S132">
        <f>IF($C132="South",1,0)</f>
        <v>0</v>
      </c>
      <c r="T132">
        <f>IF($C132="East",1,0)</f>
        <v>1</v>
      </c>
      <c r="U132">
        <f>66915.46892+(1.209928492*E132)+(27.33619482*F132)+(-41243.14883*G132)+(3508.399163*H132)+(3062.210286*I132)+(-3438.10791*J132)+(15157.28728*K132)+(12509.46131*L132)+(20219.25907*O132)+(32832.85351*P132)+(44695.0949*Q132)+(-15342.70531*R132)+(-4201.853217*S132)+(-25291.41891*T132)</f>
        <v>730330.60785529204</v>
      </c>
      <c r="V132">
        <f>M132-U132</f>
        <v>-8966.4978552920511</v>
      </c>
      <c r="W132">
        <f>V132^2</f>
        <v>80398083.788956955</v>
      </c>
    </row>
    <row r="133" spans="1:23">
      <c r="A133" t="s">
        <v>54</v>
      </c>
      <c r="B133" s="2">
        <v>45658</v>
      </c>
      <c r="C133" t="s">
        <v>15</v>
      </c>
      <c r="D133" t="s">
        <v>18</v>
      </c>
      <c r="E133">
        <v>66250.53</v>
      </c>
      <c r="F133">
        <v>10618</v>
      </c>
      <c r="G133">
        <v>0.14199999999999999</v>
      </c>
      <c r="H133">
        <v>27</v>
      </c>
      <c r="I133">
        <v>88.3</v>
      </c>
      <c r="J133">
        <v>1.1000000000000001</v>
      </c>
      <c r="K133">
        <v>1</v>
      </c>
      <c r="L133">
        <v>4.4000000000000004</v>
      </c>
      <c r="M133">
        <v>849018.3</v>
      </c>
      <c r="N133">
        <v>149035.13</v>
      </c>
      <c r="O133">
        <f>IF($D133="High Street",1,0)</f>
        <v>1</v>
      </c>
      <c r="P133">
        <f>IF($D133="Mall",1,0)</f>
        <v>0</v>
      </c>
      <c r="Q133">
        <f>IF($D133="Airport",1,0)</f>
        <v>0</v>
      </c>
      <c r="R133">
        <f>IF($C133="North",1,0)</f>
        <v>0</v>
      </c>
      <c r="S133">
        <f>IF($C133="South",1,0)</f>
        <v>0</v>
      </c>
      <c r="T133">
        <f>IF($C133="East",1,0)</f>
        <v>1</v>
      </c>
      <c r="U133">
        <f>66915.46892+(1.209928492*E133)+(27.33619482*F133)+(-41243.14883*G133)+(3508.399163*H133)+(3062.210286*I133)+(-3438.10791*J133)+(15157.28728*K133)+(12509.46131*L133)+(20219.25907*O133)+(32832.85351*P133)+(44695.0949*Q133)+(-15342.70531*R133)+(-4201.853217*S133)+(-25291.41891*T133)</f>
        <v>857937.84639980074</v>
      </c>
      <c r="V133">
        <f>M133-U133</f>
        <v>-8919.546399800689</v>
      </c>
      <c r="W133">
        <f>V133^2</f>
        <v>79558307.978197426</v>
      </c>
    </row>
    <row r="134" spans="1:23">
      <c r="A134" t="s">
        <v>88</v>
      </c>
      <c r="B134" s="2">
        <v>45658</v>
      </c>
      <c r="C134" t="s">
        <v>15</v>
      </c>
      <c r="D134" t="s">
        <v>18</v>
      </c>
      <c r="E134">
        <v>58981.91</v>
      </c>
      <c r="F134">
        <v>7324</v>
      </c>
      <c r="G134">
        <v>9.4E-2</v>
      </c>
      <c r="H134">
        <v>15</v>
      </c>
      <c r="I134">
        <v>95.8</v>
      </c>
      <c r="J134">
        <v>0.5</v>
      </c>
      <c r="K134">
        <v>0</v>
      </c>
      <c r="L134">
        <v>3.5</v>
      </c>
      <c r="M134">
        <v>708985.19</v>
      </c>
      <c r="N134">
        <v>125368.16</v>
      </c>
      <c r="O134">
        <f>IF($D134="High Street",1,0)</f>
        <v>1</v>
      </c>
      <c r="P134">
        <f>IF($D134="Mall",1,0)</f>
        <v>0</v>
      </c>
      <c r="Q134">
        <f>IF($D134="Airport",1,0)</f>
        <v>0</v>
      </c>
      <c r="R134">
        <f>IF($C134="North",1,0)</f>
        <v>0</v>
      </c>
      <c r="S134">
        <f>IF($C134="South",1,0)</f>
        <v>0</v>
      </c>
      <c r="T134">
        <f>IF($C134="East",1,0)</f>
        <v>1</v>
      </c>
      <c r="U134">
        <f>66915.46892+(1.209928492*E134)+(27.33619482*F134)+(-41243.14883*G134)+(3508.399163*H134)+(3062.210286*I134)+(-3438.10791*J134)+(15157.28728*K134)+(12509.46131*L134)+(20219.25907*O134)+(32832.85351*P134)+(44695.0949*Q134)+(-15342.70531*R134)+(-4201.853217*S134)+(-25291.41891*T134)</f>
        <v>717590.43084703968</v>
      </c>
      <c r="V134">
        <f>M134-U134</f>
        <v>-8605.2408470397349</v>
      </c>
      <c r="W134">
        <f>V134^2</f>
        <v>74050170.035561129</v>
      </c>
    </row>
    <row r="135" spans="1:23">
      <c r="A135" t="s">
        <v>66</v>
      </c>
      <c r="B135" s="2">
        <v>45717</v>
      </c>
      <c r="C135" t="s">
        <v>27</v>
      </c>
      <c r="D135" t="s">
        <v>21</v>
      </c>
      <c r="E135">
        <v>40535.089999999997</v>
      </c>
      <c r="F135">
        <v>8870</v>
      </c>
      <c r="G135">
        <v>4.1000000000000002E-2</v>
      </c>
      <c r="H135">
        <v>21</v>
      </c>
      <c r="I135">
        <v>86.6</v>
      </c>
      <c r="J135">
        <v>0.3</v>
      </c>
      <c r="K135">
        <v>0</v>
      </c>
      <c r="L135">
        <v>4.0999999999999996</v>
      </c>
      <c r="M135">
        <v>781955.52</v>
      </c>
      <c r="N135">
        <v>152578.71</v>
      </c>
      <c r="O135">
        <f>IF($D135="High Street",1,0)</f>
        <v>0</v>
      </c>
      <c r="P135">
        <f>IF($D135="Mall",1,0)</f>
        <v>0</v>
      </c>
      <c r="Q135">
        <f>IF($D135="Airport",1,0)</f>
        <v>1</v>
      </c>
      <c r="R135">
        <f>IF($C135="North",1,0)</f>
        <v>0</v>
      </c>
      <c r="S135">
        <f>IF($C135="South",1,0)</f>
        <v>0</v>
      </c>
      <c r="T135">
        <f>IF($C135="East",1,0)</f>
        <v>0</v>
      </c>
      <c r="U135">
        <f>66915.46892+(1.209928492*E135)+(27.33619482*F135)+(-41243.14883*G135)+(3508.399163*H135)+(3062.210286*I135)+(-3438.10791*J135)+(15157.28728*K135)+(12509.46131*L135)+(20219.25907*O135)+(32832.85351*P135)+(44695.0949*Q135)+(-15342.70531*R135)+(-4201.853217*S135)+(-25291.41891*T135)</f>
        <v>790557.35527675436</v>
      </c>
      <c r="V135">
        <f>M135-U135</f>
        <v>-8601.8352767543402</v>
      </c>
      <c r="W135">
        <f>V135^2</f>
        <v>73991570.128415421</v>
      </c>
    </row>
    <row r="136" spans="1:23">
      <c r="A136" t="s">
        <v>69</v>
      </c>
      <c r="B136" s="2">
        <v>45717</v>
      </c>
      <c r="C136" t="s">
        <v>15</v>
      </c>
      <c r="D136" t="s">
        <v>18</v>
      </c>
      <c r="E136">
        <v>37705.879999999997</v>
      </c>
      <c r="F136">
        <v>1268</v>
      </c>
      <c r="G136">
        <v>0.25900000000000001</v>
      </c>
      <c r="H136">
        <v>9</v>
      </c>
      <c r="I136">
        <v>84.1</v>
      </c>
      <c r="J136">
        <v>4.7699999999999996</v>
      </c>
      <c r="K136">
        <v>0</v>
      </c>
      <c r="L136">
        <v>3.8</v>
      </c>
      <c r="M136">
        <v>443275.59</v>
      </c>
      <c r="N136">
        <v>53544.36</v>
      </c>
      <c r="O136">
        <f>IF($D136="High Street",1,0)</f>
        <v>1</v>
      </c>
      <c r="P136">
        <f>IF($D136="Mall",1,0)</f>
        <v>0</v>
      </c>
      <c r="Q136">
        <f>IF($D136="Airport",1,0)</f>
        <v>0</v>
      </c>
      <c r="R136">
        <f>IF($C136="North",1,0)</f>
        <v>0</v>
      </c>
      <c r="S136">
        <f>IF($C136="South",1,0)</f>
        <v>0</v>
      </c>
      <c r="T136">
        <f>IF($C136="East",1,0)</f>
        <v>1</v>
      </c>
      <c r="U136">
        <f>66915.46892+(1.209928492*E136)+(27.33619482*F136)+(-41243.14883*G136)+(3508.399163*H136)+(3062.210286*I136)+(-3438.10791*J136)+(15157.28728*K136)+(12509.46131*L136)+(20219.25907*O136)+(32832.85351*P136)+(44695.0949*Q136)+(-15342.70531*R136)+(-4201.853217*S136)+(-25291.41891*T136)</f>
        <v>451688.70285962289</v>
      </c>
      <c r="V136">
        <f>M136-U136</f>
        <v>-8413.1128596228664</v>
      </c>
      <c r="W136">
        <f>V136^2</f>
        <v>70780467.98875165</v>
      </c>
    </row>
    <row r="137" spans="1:23">
      <c r="A137" t="s">
        <v>95</v>
      </c>
      <c r="B137" s="2">
        <v>45717</v>
      </c>
      <c r="C137" t="s">
        <v>27</v>
      </c>
      <c r="D137" t="s">
        <v>18</v>
      </c>
      <c r="E137">
        <v>59825.51</v>
      </c>
      <c r="F137">
        <v>1231</v>
      </c>
      <c r="G137">
        <v>0.214</v>
      </c>
      <c r="H137">
        <v>10</v>
      </c>
      <c r="I137">
        <v>84.8</v>
      </c>
      <c r="J137">
        <v>8.9600000000000009</v>
      </c>
      <c r="K137">
        <v>0</v>
      </c>
      <c r="L137">
        <v>4.7</v>
      </c>
      <c r="M137">
        <v>498970.32</v>
      </c>
      <c r="N137">
        <v>69656.7</v>
      </c>
      <c r="O137">
        <f>IF($D137="High Street",1,0)</f>
        <v>1</v>
      </c>
      <c r="P137">
        <f>IF($D137="Mall",1,0)</f>
        <v>0</v>
      </c>
      <c r="Q137">
        <f>IF($D137="Airport",1,0)</f>
        <v>0</v>
      </c>
      <c r="R137">
        <f>IF($C137="North",1,0)</f>
        <v>0</v>
      </c>
      <c r="S137">
        <f>IF($C137="South",1,0)</f>
        <v>0</v>
      </c>
      <c r="T137">
        <f>IF($C137="East",1,0)</f>
        <v>0</v>
      </c>
      <c r="U137">
        <f>66915.46892+(1.209928492*E137)+(27.33619482*F137)+(-41243.14883*G137)+(3508.399163*H137)+(3062.210286*I137)+(-3438.10791*J137)+(15157.28728*K137)+(12509.46131*L137)+(20219.25907*O137)+(32832.85351*P137)+(44695.0949*Q137)+(-15342.70531*R137)+(-4201.853217*S137)+(-25291.41891*T137)</f>
        <v>507092.58422743098</v>
      </c>
      <c r="V137">
        <f>M137-U137</f>
        <v>-8122.2642274309765</v>
      </c>
      <c r="W137">
        <f>V137^2</f>
        <v>65971176.18020492</v>
      </c>
    </row>
    <row r="138" spans="1:23">
      <c r="A138" t="s">
        <v>95</v>
      </c>
      <c r="B138" s="2">
        <v>45748</v>
      </c>
      <c r="C138" t="s">
        <v>27</v>
      </c>
      <c r="D138" t="s">
        <v>18</v>
      </c>
      <c r="E138">
        <v>27398.28</v>
      </c>
      <c r="F138">
        <v>1723</v>
      </c>
      <c r="G138">
        <v>0.17100000000000001</v>
      </c>
      <c r="H138">
        <v>9</v>
      </c>
      <c r="I138">
        <v>81</v>
      </c>
      <c r="J138">
        <v>0.74</v>
      </c>
      <c r="K138">
        <v>0</v>
      </c>
      <c r="L138">
        <v>4.5999999999999996</v>
      </c>
      <c r="M138">
        <v>487738.26</v>
      </c>
      <c r="N138">
        <v>96435.6</v>
      </c>
      <c r="O138">
        <f>IF($D138="High Street",1,0)</f>
        <v>1</v>
      </c>
      <c r="P138">
        <f>IF($D138="Mall",1,0)</f>
        <v>0</v>
      </c>
      <c r="Q138">
        <f>IF($D138="Airport",1,0)</f>
        <v>0</v>
      </c>
      <c r="R138">
        <f>IF($C138="North",1,0)</f>
        <v>0</v>
      </c>
      <c r="S138">
        <f>IF($C138="South",1,0)</f>
        <v>0</v>
      </c>
      <c r="T138">
        <f>IF($C138="East",1,0)</f>
        <v>0</v>
      </c>
      <c r="U138">
        <f>66915.46892+(1.209928492*E138)+(27.33619482*F138)+(-41243.14883*G138)+(3508.399163*H138)+(3062.210286*I138)+(-3438.10791*J138)+(15157.28728*K138)+(12509.46131*L138)+(20219.25907*O138)+(32832.85351*P138)+(44695.0949*Q138)+(-15342.70531*R138)+(-4201.853217*S138)+(-25291.41891*T138)</f>
        <v>494946.32062432379</v>
      </c>
      <c r="V138">
        <f>M138-U138</f>
        <v>-7208.0606243237853</v>
      </c>
      <c r="W138">
        <f>V138^2</f>
        <v>51956137.963927001</v>
      </c>
    </row>
    <row r="139" spans="1:23">
      <c r="A139" t="s">
        <v>93</v>
      </c>
      <c r="B139" s="2">
        <v>45689</v>
      </c>
      <c r="C139" t="s">
        <v>27</v>
      </c>
      <c r="D139" t="s">
        <v>16</v>
      </c>
      <c r="E139">
        <v>74539.14</v>
      </c>
      <c r="F139">
        <v>4487</v>
      </c>
      <c r="G139">
        <v>0.14000000000000001</v>
      </c>
      <c r="H139">
        <v>10</v>
      </c>
      <c r="I139">
        <v>90.4</v>
      </c>
      <c r="J139">
        <v>0.59</v>
      </c>
      <c r="K139">
        <v>0</v>
      </c>
      <c r="L139">
        <v>4.5</v>
      </c>
      <c r="M139">
        <v>633009.53</v>
      </c>
      <c r="N139">
        <v>123782.67</v>
      </c>
      <c r="O139">
        <f>IF($D139="High Street",1,0)</f>
        <v>0</v>
      </c>
      <c r="P139">
        <f>IF($D139="Mall",1,0)</f>
        <v>0</v>
      </c>
      <c r="Q139">
        <f>IF($D139="Airport",1,0)</f>
        <v>0</v>
      </c>
      <c r="R139">
        <f>IF($C139="North",1,0)</f>
        <v>0</v>
      </c>
      <c r="S139">
        <f>IF($C139="South",1,0)</f>
        <v>0</v>
      </c>
      <c r="T139">
        <f>IF($C139="East",1,0)</f>
        <v>0</v>
      </c>
      <c r="U139">
        <f>66915.46892+(1.209928492*E139)+(27.33619482*F139)+(-41243.14883*G139)+(3508.399163*H139)+(3062.210286*I139)+(-3438.10791*J139)+(15157.28728*K139)+(12509.46131*L139)+(20219.25907*O139)+(32832.85351*P139)+(44695.0949*Q139)+(-15342.70531*R139)+(-4201.853217*S139)+(-25291.41891*T139)</f>
        <v>640157.85720881692</v>
      </c>
      <c r="V139">
        <f>M139-U139</f>
        <v>-7148.3272088168887</v>
      </c>
      <c r="W139">
        <f>V139^2</f>
        <v>51098581.884311855</v>
      </c>
    </row>
    <row r="140" spans="1:23">
      <c r="A140" t="s">
        <v>22</v>
      </c>
      <c r="B140" s="2">
        <v>45717</v>
      </c>
      <c r="C140" t="s">
        <v>15</v>
      </c>
      <c r="D140" t="s">
        <v>16</v>
      </c>
      <c r="E140">
        <v>59909.51</v>
      </c>
      <c r="F140">
        <v>8895</v>
      </c>
      <c r="G140">
        <v>0.22800000000000001</v>
      </c>
      <c r="H140">
        <v>23</v>
      </c>
      <c r="I140">
        <v>88.8</v>
      </c>
      <c r="J140">
        <v>0.27</v>
      </c>
      <c r="K140">
        <v>0</v>
      </c>
      <c r="L140">
        <v>4.3</v>
      </c>
      <c r="M140">
        <v>746501.09</v>
      </c>
      <c r="N140">
        <v>136816.72</v>
      </c>
      <c r="O140">
        <f>IF($D140="High Street",1,0)</f>
        <v>0</v>
      </c>
      <c r="P140">
        <f>IF($D140="Mall",1,0)</f>
        <v>0</v>
      </c>
      <c r="Q140">
        <f>IF($D140="Airport",1,0)</f>
        <v>0</v>
      </c>
      <c r="R140">
        <f>IF($C140="North",1,0)</f>
        <v>0</v>
      </c>
      <c r="S140">
        <f>IF($C140="South",1,0)</f>
        <v>0</v>
      </c>
      <c r="T140">
        <f>IF($C140="East",1,0)</f>
        <v>1</v>
      </c>
      <c r="U140">
        <f>66915.46892+(1.209928492*E140)+(27.33619482*F140)+(-41243.14883*G140)+(3508.399163*H140)+(3062.210286*I140)+(-3438.10791*J140)+(15157.28728*K140)+(12509.46131*L140)+(20219.25907*O140)+(32832.85351*P140)+(44695.0949*Q140)+(-15342.70531*R140)+(-4201.853217*S140)+(-25291.41891*T140)</f>
        <v>753342.13673451892</v>
      </c>
      <c r="V140">
        <f>M140-U140</f>
        <v>-6841.0467345189536</v>
      </c>
      <c r="W140">
        <f>V140^2</f>
        <v>46799920.423872441</v>
      </c>
    </row>
    <row r="141" spans="1:23">
      <c r="A141" t="s">
        <v>41</v>
      </c>
      <c r="B141" s="2">
        <v>45658</v>
      </c>
      <c r="C141" t="s">
        <v>24</v>
      </c>
      <c r="D141" t="s">
        <v>18</v>
      </c>
      <c r="E141">
        <v>56973.18</v>
      </c>
      <c r="F141">
        <v>6662</v>
      </c>
      <c r="G141">
        <v>0.1</v>
      </c>
      <c r="H141">
        <v>15</v>
      </c>
      <c r="I141">
        <v>77.7</v>
      </c>
      <c r="J141">
        <v>7.52</v>
      </c>
      <c r="K141">
        <v>1</v>
      </c>
      <c r="L141">
        <v>3.2</v>
      </c>
      <c r="M141">
        <v>643657.47</v>
      </c>
      <c r="N141">
        <v>87022.45</v>
      </c>
      <c r="O141">
        <f>IF($D141="High Street",1,0)</f>
        <v>1</v>
      </c>
      <c r="P141">
        <f>IF($D141="Mall",1,0)</f>
        <v>0</v>
      </c>
      <c r="Q141">
        <f>IF($D141="Airport",1,0)</f>
        <v>0</v>
      </c>
      <c r="R141">
        <f>IF($C141="North",1,0)</f>
        <v>0</v>
      </c>
      <c r="S141">
        <f>IF($C141="South",1,0)</f>
        <v>1</v>
      </c>
      <c r="T141">
        <f>IF($C141="East",1,0)</f>
        <v>0</v>
      </c>
      <c r="U141">
        <f>66915.46892+(1.209928492*E141)+(27.33619482*F141)+(-41243.14883*G141)+(3508.399163*H141)+(3062.210286*I141)+(-3438.10791*J141)+(15157.28728*K141)+(12509.46131*L141)+(20219.25907*O141)+(32832.85351*P141)+(44695.0949*Q141)+(-15342.70531*R141)+(-4201.853217*S141)+(-25291.41891*T141)</f>
        <v>649748.48219868471</v>
      </c>
      <c r="V141">
        <f>M141-U141</f>
        <v>-6091.0121986847371</v>
      </c>
      <c r="W141">
        <f>V141^2</f>
        <v>37100429.604526274</v>
      </c>
    </row>
    <row r="142" spans="1:23">
      <c r="A142" t="s">
        <v>80</v>
      </c>
      <c r="B142" s="2">
        <v>45717</v>
      </c>
      <c r="C142" t="s">
        <v>27</v>
      </c>
      <c r="D142" t="s">
        <v>16</v>
      </c>
      <c r="E142">
        <v>62582.71</v>
      </c>
      <c r="F142">
        <v>5479</v>
      </c>
      <c r="G142">
        <v>4.8000000000000001E-2</v>
      </c>
      <c r="H142">
        <v>16</v>
      </c>
      <c r="I142">
        <v>81.2</v>
      </c>
      <c r="J142">
        <v>1.46</v>
      </c>
      <c r="K142">
        <v>0</v>
      </c>
      <c r="L142">
        <v>4.5</v>
      </c>
      <c r="M142">
        <v>640666.53</v>
      </c>
      <c r="N142">
        <v>134919.16</v>
      </c>
      <c r="O142">
        <f>IF($D142="High Street",1,0)</f>
        <v>0</v>
      </c>
      <c r="P142">
        <f>IF($D142="Mall",1,0)</f>
        <v>0</v>
      </c>
      <c r="Q142">
        <f>IF($D142="Airport",1,0)</f>
        <v>0</v>
      </c>
      <c r="R142">
        <f>IF($C142="North",1,0)</f>
        <v>0</v>
      </c>
      <c r="S142">
        <f>IF($C142="South",1,0)</f>
        <v>0</v>
      </c>
      <c r="T142">
        <f>IF($C142="East",1,0)</f>
        <v>0</v>
      </c>
      <c r="U142">
        <f>66915.46892+(1.209928492*E142)+(27.33619482*F142)+(-41243.14883*G142)+(3508.399163*H142)+(3062.210286*I142)+(-3438.10791*J142)+(15157.28728*K142)+(12509.46131*L142)+(20219.25907*O142)+(32832.85351*P142)+(44695.0949*Q142)+(-15342.70531*R142)+(-4201.853217*S142)+(-25291.41891*T142)</f>
        <v>646490.21330811339</v>
      </c>
      <c r="V142">
        <f>M142-U142</f>
        <v>-5823.6833081133664</v>
      </c>
      <c r="W142">
        <f>V142^2</f>
        <v>33915287.27319824</v>
      </c>
    </row>
    <row r="143" spans="1:23">
      <c r="A143" t="s">
        <v>61</v>
      </c>
      <c r="B143" s="2">
        <v>45689</v>
      </c>
      <c r="C143" t="s">
        <v>20</v>
      </c>
      <c r="D143" t="s">
        <v>28</v>
      </c>
      <c r="E143">
        <v>41863.08</v>
      </c>
      <c r="F143">
        <v>5400</v>
      </c>
      <c r="G143">
        <v>0.114</v>
      </c>
      <c r="H143">
        <v>11</v>
      </c>
      <c r="I143">
        <v>91.6</v>
      </c>
      <c r="J143">
        <v>7.99</v>
      </c>
      <c r="K143">
        <v>0</v>
      </c>
      <c r="L143">
        <v>3</v>
      </c>
      <c r="M143">
        <v>602002.31999999995</v>
      </c>
      <c r="N143">
        <v>110453.28</v>
      </c>
      <c r="O143">
        <f>IF($D143="High Street",1,0)</f>
        <v>0</v>
      </c>
      <c r="P143">
        <f>IF($D143="Mall",1,0)</f>
        <v>1</v>
      </c>
      <c r="Q143">
        <f>IF($D143="Airport",1,0)</f>
        <v>0</v>
      </c>
      <c r="R143">
        <f>IF($C143="North",1,0)</f>
        <v>1</v>
      </c>
      <c r="S143">
        <f>IF($C143="South",1,0)</f>
        <v>0</v>
      </c>
      <c r="T143">
        <f>IF($C143="East",1,0)</f>
        <v>0</v>
      </c>
      <c r="U143">
        <f>66915.46892+(1.209928492*E143)+(27.33619482*F143)+(-41243.14883*G143)+(3508.399163*H143)+(3062.210286*I143)+(-3438.10791*J143)+(15157.28728*K143)+(12509.46131*L143)+(20219.25907*O143)+(32832.85351*P143)+(44695.0949*Q143)+(-15342.70531*R143)+(-4201.853217*S143)+(-25291.41891*T143)</f>
        <v>607119.4381559554</v>
      </c>
      <c r="V143">
        <f>M143-U143</f>
        <v>-5117.1181559554534</v>
      </c>
      <c r="W143">
        <f>V143^2</f>
        <v>26184898.22200894</v>
      </c>
    </row>
    <row r="144" spans="1:23">
      <c r="A144" t="s">
        <v>71</v>
      </c>
      <c r="B144" s="2">
        <v>45689</v>
      </c>
      <c r="C144" t="s">
        <v>20</v>
      </c>
      <c r="D144" t="s">
        <v>16</v>
      </c>
      <c r="E144">
        <v>54002.83</v>
      </c>
      <c r="F144">
        <v>4366</v>
      </c>
      <c r="G144">
        <v>2.7E-2</v>
      </c>
      <c r="H144">
        <v>15</v>
      </c>
      <c r="I144">
        <v>90.6</v>
      </c>
      <c r="J144">
        <v>12.82</v>
      </c>
      <c r="K144">
        <v>0</v>
      </c>
      <c r="L144">
        <v>4.5999999999999996</v>
      </c>
      <c r="M144">
        <v>574066.61</v>
      </c>
      <c r="N144">
        <v>124674.67</v>
      </c>
      <c r="O144">
        <f>IF($D144="High Street",1,0)</f>
        <v>0</v>
      </c>
      <c r="P144">
        <f>IF($D144="Mall",1,0)</f>
        <v>0</v>
      </c>
      <c r="Q144">
        <f>IF($D144="Airport",1,0)</f>
        <v>0</v>
      </c>
      <c r="R144">
        <f>IF($C144="North",1,0)</f>
        <v>1</v>
      </c>
      <c r="S144">
        <f>IF($C144="South",1,0)</f>
        <v>0</v>
      </c>
      <c r="T144">
        <f>IF($C144="East",1,0)</f>
        <v>0</v>
      </c>
      <c r="U144">
        <f>66915.46892+(1.209928492*E144)+(27.33619482*F144)+(-41243.14883*G144)+(3508.399163*H144)+(3062.210286*I144)+(-3438.10791*J144)+(15157.28728*K144)+(12509.46131*L144)+(20219.25907*O144)+(32832.85351*P144)+(44695.0949*Q144)+(-15342.70531*R144)+(-4201.853217*S144)+(-25291.41891*T144)</f>
        <v>578677.80581774225</v>
      </c>
      <c r="V144">
        <f>M144-U144</f>
        <v>-4611.1958177422639</v>
      </c>
      <c r="W144">
        <f>V144^2</f>
        <v>21263126.869563747</v>
      </c>
    </row>
    <row r="145" spans="1:23">
      <c r="A145" t="s">
        <v>70</v>
      </c>
      <c r="B145" s="2">
        <v>45717</v>
      </c>
      <c r="C145" t="s">
        <v>27</v>
      </c>
      <c r="D145" t="s">
        <v>16</v>
      </c>
      <c r="E145">
        <v>40220.18</v>
      </c>
      <c r="F145">
        <v>3783</v>
      </c>
      <c r="G145">
        <v>8.8999999999999996E-2</v>
      </c>
      <c r="H145">
        <v>14</v>
      </c>
      <c r="I145">
        <v>86.6</v>
      </c>
      <c r="J145">
        <v>3.63</v>
      </c>
      <c r="K145">
        <v>0</v>
      </c>
      <c r="L145">
        <v>3.7</v>
      </c>
      <c r="M145">
        <v>559422.02</v>
      </c>
      <c r="N145">
        <v>73528.740000000005</v>
      </c>
      <c r="O145">
        <f>IF($D145="High Street",1,0)</f>
        <v>0</v>
      </c>
      <c r="P145">
        <f>IF($D145="Mall",1,0)</f>
        <v>0</v>
      </c>
      <c r="Q145">
        <f>IF($D145="Airport",1,0)</f>
        <v>0</v>
      </c>
      <c r="R145">
        <f>IF($C145="North",1,0)</f>
        <v>0</v>
      </c>
      <c r="S145">
        <f>IF($C145="South",1,0)</f>
        <v>0</v>
      </c>
      <c r="T145">
        <f>IF($C145="East",1,0)</f>
        <v>0</v>
      </c>
      <c r="U145">
        <f>66915.46892+(1.209928492*E145)+(27.33619482*F145)+(-41243.14883*G145)+(3508.399163*H145)+(3062.210286*I145)+(-3438.10791*J145)+(15157.28728*K145)+(12509.46131*L145)+(20219.25907*O145)+(32832.85351*P145)+(44695.0949*Q145)+(-15342.70531*R145)+(-4201.853217*S145)+(-25291.41891*T145)</f>
        <v>563430.86959685851</v>
      </c>
      <c r="V145">
        <f>M145-U145</f>
        <v>-4008.8495968584903</v>
      </c>
      <c r="W145">
        <f>V145^2</f>
        <v>16070875.09023248</v>
      </c>
    </row>
    <row r="146" spans="1:23">
      <c r="A146" t="s">
        <v>30</v>
      </c>
      <c r="B146" s="2">
        <v>45748</v>
      </c>
      <c r="C146" t="s">
        <v>20</v>
      </c>
      <c r="D146" t="s">
        <v>16</v>
      </c>
      <c r="E146">
        <v>52483.77</v>
      </c>
      <c r="F146">
        <v>10453</v>
      </c>
      <c r="G146">
        <v>0.247</v>
      </c>
      <c r="H146">
        <v>25</v>
      </c>
      <c r="I146">
        <v>99</v>
      </c>
      <c r="J146">
        <v>6.31</v>
      </c>
      <c r="K146">
        <v>0</v>
      </c>
      <c r="L146">
        <v>3.6</v>
      </c>
      <c r="M146">
        <v>800979.78</v>
      </c>
      <c r="N146">
        <v>149242.26999999999</v>
      </c>
      <c r="O146">
        <f>IF($D146="High Street",1,0)</f>
        <v>0</v>
      </c>
      <c r="P146">
        <f>IF($D146="Mall",1,0)</f>
        <v>0</v>
      </c>
      <c r="Q146">
        <f>IF($D146="Airport",1,0)</f>
        <v>0</v>
      </c>
      <c r="R146">
        <f>IF($C146="North",1,0)</f>
        <v>1</v>
      </c>
      <c r="S146">
        <f>IF($C146="South",1,0)</f>
        <v>0</v>
      </c>
      <c r="T146">
        <f>IF($C146="East",1,0)</f>
        <v>0</v>
      </c>
      <c r="U146">
        <f>66915.46892+(1.209928492*E146)+(27.33619482*F146)+(-41243.14883*G146)+(3508.399163*H146)+(3062.210286*I146)+(-3438.10791*J146)+(15157.28728*K146)+(12509.46131*L146)+(20219.25907*O146)+(32832.85351*P146)+(44695.0949*Q146)+(-15342.70531*R146)+(-4201.853217*S146)+(-25291.41891*T146)</f>
        <v>804840.95618592482</v>
      </c>
      <c r="V146">
        <f>M146-U146</f>
        <v>-3861.1761859247927</v>
      </c>
      <c r="W146">
        <f>V146^2</f>
        <v>14908681.538752729</v>
      </c>
    </row>
    <row r="147" spans="1:23">
      <c r="A147" t="s">
        <v>23</v>
      </c>
      <c r="B147" s="2">
        <v>45689</v>
      </c>
      <c r="C147" t="s">
        <v>24</v>
      </c>
      <c r="D147" t="s">
        <v>16</v>
      </c>
      <c r="E147">
        <v>59117.9</v>
      </c>
      <c r="F147">
        <v>4263</v>
      </c>
      <c r="G147">
        <v>0.11899999999999999</v>
      </c>
      <c r="H147">
        <v>9</v>
      </c>
      <c r="I147">
        <v>87.6</v>
      </c>
      <c r="J147">
        <v>4.01</v>
      </c>
      <c r="K147">
        <v>0</v>
      </c>
      <c r="L147">
        <v>3.6</v>
      </c>
      <c r="M147">
        <v>573155.18999999994</v>
      </c>
      <c r="N147">
        <v>83680.75</v>
      </c>
      <c r="O147">
        <f>IF($D147="High Street",1,0)</f>
        <v>0</v>
      </c>
      <c r="P147">
        <f>IF($D147="Mall",1,0)</f>
        <v>0</v>
      </c>
      <c r="Q147">
        <f>IF($D147="Airport",1,0)</f>
        <v>0</v>
      </c>
      <c r="R147">
        <f>IF($C147="North",1,0)</f>
        <v>0</v>
      </c>
      <c r="S147">
        <f>IF($C147="South",1,0)</f>
        <v>1</v>
      </c>
      <c r="T147">
        <f>IF($C147="East",1,0)</f>
        <v>0</v>
      </c>
      <c r="U147">
        <f>66915.46892+(1.209928492*E147)+(27.33619482*F147)+(-41243.14883*G147)+(3508.399163*H147)+(3062.210286*I147)+(-3438.10791*J147)+(15157.28728*K147)+(12509.46131*L147)+(20219.25907*O147)+(32832.85351*P147)+(44695.0949*Q147)+(-15342.70531*R147)+(-4201.853217*S147)+(-25291.41891*T147)</f>
        <v>576940.77262459684</v>
      </c>
      <c r="V147">
        <f>M147-U147</f>
        <v>-3785.5826245968929</v>
      </c>
      <c r="W147">
        <f>V147^2</f>
        <v>14330635.807649899</v>
      </c>
    </row>
    <row r="148" spans="1:23">
      <c r="A148" t="s">
        <v>64</v>
      </c>
      <c r="B148" s="2">
        <v>45748</v>
      </c>
      <c r="C148" t="s">
        <v>15</v>
      </c>
      <c r="D148" t="s">
        <v>16</v>
      </c>
      <c r="E148">
        <v>36606.51</v>
      </c>
      <c r="F148">
        <v>7671</v>
      </c>
      <c r="G148">
        <v>0.11799999999999999</v>
      </c>
      <c r="H148">
        <v>18</v>
      </c>
      <c r="I148">
        <v>89.8</v>
      </c>
      <c r="J148">
        <v>0.25</v>
      </c>
      <c r="K148">
        <v>0</v>
      </c>
      <c r="L148">
        <v>4.4000000000000004</v>
      </c>
      <c r="M148">
        <v>679731.57</v>
      </c>
      <c r="N148">
        <v>121546.42</v>
      </c>
      <c r="O148">
        <f>IF($D148="High Street",1,0)</f>
        <v>0</v>
      </c>
      <c r="P148">
        <f>IF($D148="Mall",1,0)</f>
        <v>0</v>
      </c>
      <c r="Q148">
        <f>IF($D148="Airport",1,0)</f>
        <v>0</v>
      </c>
      <c r="R148">
        <f>IF($C148="North",1,0)</f>
        <v>0</v>
      </c>
      <c r="S148">
        <f>IF($C148="South",1,0)</f>
        <v>0</v>
      </c>
      <c r="T148">
        <f>IF($C148="East",1,0)</f>
        <v>1</v>
      </c>
      <c r="U148">
        <f>66915.46892+(1.209928492*E148)+(27.33619482*F148)+(-41243.14883*G148)+(3508.399163*H148)+(3062.210286*I148)+(-3438.10791*J148)+(15157.28728*K148)+(12509.46131*L148)+(20219.25907*O148)+(32832.85351*P148)+(44695.0949*Q148)+(-15342.70531*R148)+(-4201.853217*S148)+(-25291.41891*T148)</f>
        <v>683064.33975726296</v>
      </c>
      <c r="V148">
        <f>M148-U148</f>
        <v>-3332.7697572630132</v>
      </c>
      <c r="W148">
        <f>V148^2</f>
        <v>11107354.254926963</v>
      </c>
    </row>
    <row r="149" spans="1:23">
      <c r="A149" t="s">
        <v>67</v>
      </c>
      <c r="B149" s="2">
        <v>45658</v>
      </c>
      <c r="C149" t="s">
        <v>27</v>
      </c>
      <c r="D149" t="s">
        <v>16</v>
      </c>
      <c r="E149">
        <v>68491.11</v>
      </c>
      <c r="F149">
        <v>11154</v>
      </c>
      <c r="G149">
        <v>1E-3</v>
      </c>
      <c r="H149">
        <v>24</v>
      </c>
      <c r="I149">
        <v>89.4</v>
      </c>
      <c r="J149">
        <v>5.27</v>
      </c>
      <c r="K149">
        <v>1</v>
      </c>
      <c r="L149">
        <v>3.9</v>
      </c>
      <c r="M149">
        <v>855341.28</v>
      </c>
      <c r="N149">
        <v>175823.8</v>
      </c>
      <c r="O149">
        <f>IF($D149="High Street",1,0)</f>
        <v>0</v>
      </c>
      <c r="P149">
        <f>IF($D149="Mall",1,0)</f>
        <v>0</v>
      </c>
      <c r="Q149">
        <f>IF($D149="Airport",1,0)</f>
        <v>0</v>
      </c>
      <c r="R149">
        <f>IF($C149="North",1,0)</f>
        <v>0</v>
      </c>
      <c r="S149">
        <f>IF($C149="South",1,0)</f>
        <v>0</v>
      </c>
      <c r="T149">
        <f>IF($C149="East",1,0)</f>
        <v>0</v>
      </c>
      <c r="U149">
        <f>66915.46892+(1.209928492*E149)+(27.33619482*F149)+(-41243.14883*G149)+(3508.399163*H149)+(3062.210286*I149)+(-3438.10791*J149)+(15157.28728*K149)+(12509.46131*L149)+(20219.25907*O149)+(32832.85351*P149)+(44695.0949*Q149)+(-15342.70531*R149)+(-4201.853217*S149)+(-25291.41891*T149)</f>
        <v>858440.02541485627</v>
      </c>
      <c r="V149">
        <f>M149-U149</f>
        <v>-3098.7454148562392</v>
      </c>
      <c r="W149">
        <f>V149^2</f>
        <v>9602223.1460925657</v>
      </c>
    </row>
    <row r="150" spans="1:23">
      <c r="A150" t="s">
        <v>76</v>
      </c>
      <c r="B150" s="2">
        <v>45689</v>
      </c>
      <c r="C150" t="s">
        <v>20</v>
      </c>
      <c r="D150" t="s">
        <v>21</v>
      </c>
      <c r="E150">
        <v>33987.33</v>
      </c>
      <c r="F150">
        <v>5014</v>
      </c>
      <c r="G150">
        <v>0.246</v>
      </c>
      <c r="H150">
        <v>17</v>
      </c>
      <c r="I150">
        <v>94.3</v>
      </c>
      <c r="J150">
        <v>10.34</v>
      </c>
      <c r="K150">
        <v>0</v>
      </c>
      <c r="L150">
        <v>3.9</v>
      </c>
      <c r="M150">
        <v>622892.42000000004</v>
      </c>
      <c r="N150">
        <v>101032.52</v>
      </c>
      <c r="O150">
        <f>IF($D150="High Street",1,0)</f>
        <v>0</v>
      </c>
      <c r="P150">
        <f>IF($D150="Mall",1,0)</f>
        <v>0</v>
      </c>
      <c r="Q150">
        <f>IF($D150="Airport",1,0)</f>
        <v>1</v>
      </c>
      <c r="R150">
        <f>IF($C150="North",1,0)</f>
        <v>1</v>
      </c>
      <c r="S150">
        <f>IF($C150="South",1,0)</f>
        <v>0</v>
      </c>
      <c r="T150">
        <f>IF($C150="East",1,0)</f>
        <v>0</v>
      </c>
      <c r="U150">
        <f>66915.46892+(1.209928492*E150)+(27.33619482*F150)+(-41243.14883*G150)+(3508.399163*H150)+(3062.210286*I150)+(-3438.10791*J150)+(15157.28728*K150)+(12509.46131*L150)+(20219.25907*O150)+(32832.85351*P150)+(44695.0949*Q150)+(-15342.70531*R150)+(-4201.853217*S150)+(-25291.41891*T150)</f>
        <v>625954.04271970643</v>
      </c>
      <c r="V150">
        <f>M150-U150</f>
        <v>-3061.6227197063854</v>
      </c>
      <c r="W150">
        <f>V150^2</f>
        <v>9373533.6778223235</v>
      </c>
    </row>
    <row r="151" spans="1:23">
      <c r="A151" t="s">
        <v>83</v>
      </c>
      <c r="B151" s="2">
        <v>45748</v>
      </c>
      <c r="C151" t="s">
        <v>15</v>
      </c>
      <c r="D151" t="s">
        <v>18</v>
      </c>
      <c r="E151">
        <v>21536.18</v>
      </c>
      <c r="F151">
        <v>8119</v>
      </c>
      <c r="G151">
        <v>0.22700000000000001</v>
      </c>
      <c r="H151">
        <v>20</v>
      </c>
      <c r="I151">
        <v>90.4</v>
      </c>
      <c r="J151">
        <v>1.7</v>
      </c>
      <c r="K151">
        <v>0</v>
      </c>
      <c r="L151">
        <v>3.3</v>
      </c>
      <c r="M151">
        <v>679888.74</v>
      </c>
      <c r="N151">
        <v>83406.89</v>
      </c>
      <c r="O151">
        <f>IF($D151="High Street",1,0)</f>
        <v>1</v>
      </c>
      <c r="P151">
        <f>IF($D151="Mall",1,0)</f>
        <v>0</v>
      </c>
      <c r="Q151">
        <f>IF($D151="Airport",1,0)</f>
        <v>0</v>
      </c>
      <c r="R151">
        <f>IF($C151="North",1,0)</f>
        <v>0</v>
      </c>
      <c r="S151">
        <f>IF($C151="South",1,0)</f>
        <v>0</v>
      </c>
      <c r="T151">
        <f>IF($C151="East",1,0)</f>
        <v>1</v>
      </c>
      <c r="U151">
        <f>66915.46892+(1.209928492*E151)+(27.33619482*F151)+(-41243.14883*G151)+(3508.399163*H151)+(3062.210286*I151)+(-3438.10791*J151)+(15157.28728*K151)+(12509.46131*L151)+(20219.25907*O151)+(32832.85351*P151)+(44695.0949*Q151)+(-15342.70531*R151)+(-4201.853217*S151)+(-25291.41891*T151)</f>
        <v>682909.14982041053</v>
      </c>
      <c r="V151">
        <f>M151-U151</f>
        <v>-3020.4098204105394</v>
      </c>
      <c r="W151">
        <f>V151^2</f>
        <v>9122875.4832324274</v>
      </c>
    </row>
    <row r="152" spans="1:23">
      <c r="A152" t="s">
        <v>99</v>
      </c>
      <c r="B152" s="2">
        <v>45748</v>
      </c>
      <c r="C152" t="s">
        <v>24</v>
      </c>
      <c r="D152" t="s">
        <v>18</v>
      </c>
      <c r="E152">
        <v>86026.58</v>
      </c>
      <c r="F152">
        <v>7479</v>
      </c>
      <c r="G152">
        <v>0.14199999999999999</v>
      </c>
      <c r="H152">
        <v>20</v>
      </c>
      <c r="I152">
        <v>89</v>
      </c>
      <c r="J152">
        <v>0.9</v>
      </c>
      <c r="K152">
        <v>0</v>
      </c>
      <c r="L152">
        <v>3.9</v>
      </c>
      <c r="M152">
        <v>771129.07</v>
      </c>
      <c r="N152">
        <v>116851.13</v>
      </c>
      <c r="O152">
        <f>IF($D152="High Street",1,0)</f>
        <v>1</v>
      </c>
      <c r="P152">
        <f>IF($D152="Mall",1,0)</f>
        <v>0</v>
      </c>
      <c r="Q152">
        <f>IF($D152="Airport",1,0)</f>
        <v>0</v>
      </c>
      <c r="R152">
        <f>IF($C152="North",1,0)</f>
        <v>0</v>
      </c>
      <c r="S152">
        <f>IF($C152="South",1,0)</f>
        <v>1</v>
      </c>
      <c r="T152">
        <f>IF($C152="East",1,0)</f>
        <v>0</v>
      </c>
      <c r="U152">
        <f>66915.46892+(1.209928492*E152)+(27.33619482*F152)+(-41243.14883*G152)+(3508.399163*H152)+(3062.210286*I152)+(-3438.10791*J152)+(15157.28728*K152)+(12509.46131*L152)+(20219.25907*O152)+(32832.85351*P152)+(44695.0949*Q152)+(-15342.70531*R152)+(-4201.853217*S152)+(-25291.41891*T152)</f>
        <v>774007.05961323739</v>
      </c>
      <c r="V152">
        <f>M152-U152</f>
        <v>-2877.9896132374415</v>
      </c>
      <c r="W152">
        <f>V152^2</f>
        <v>8282824.2139025982</v>
      </c>
    </row>
    <row r="153" spans="1:23">
      <c r="A153" t="s">
        <v>86</v>
      </c>
      <c r="B153" s="2">
        <v>45689</v>
      </c>
      <c r="C153" t="s">
        <v>24</v>
      </c>
      <c r="D153" t="s">
        <v>28</v>
      </c>
      <c r="E153">
        <v>28670.43</v>
      </c>
      <c r="F153">
        <v>7574</v>
      </c>
      <c r="G153">
        <v>0.114</v>
      </c>
      <c r="H153">
        <v>19</v>
      </c>
      <c r="I153">
        <v>82.7</v>
      </c>
      <c r="J153">
        <v>2.74</v>
      </c>
      <c r="K153">
        <v>0</v>
      </c>
      <c r="L153">
        <v>4.5999999999999996</v>
      </c>
      <c r="M153">
        <v>697888.09</v>
      </c>
      <c r="N153">
        <v>116249.87</v>
      </c>
      <c r="O153">
        <f>IF($D153="High Street",1,0)</f>
        <v>0</v>
      </c>
      <c r="P153">
        <f>IF($D153="Mall",1,0)</f>
        <v>1</v>
      </c>
      <c r="Q153">
        <f>IF($D153="Airport",1,0)</f>
        <v>0</v>
      </c>
      <c r="R153">
        <f>IF($C153="North",1,0)</f>
        <v>0</v>
      </c>
      <c r="S153">
        <f>IF($C153="South",1,0)</f>
        <v>1</v>
      </c>
      <c r="T153">
        <f>IF($C153="East",1,0)</f>
        <v>0</v>
      </c>
      <c r="U153">
        <f>66915.46892+(1.209928492*E153)+(27.33619482*F153)+(-41243.14883*G153)+(3508.399163*H153)+(3062.210286*I153)+(-3438.10791*J153)+(15157.28728*K153)+(12509.46131*L153)+(20219.25907*O153)+(32832.85351*P153)+(44695.0949*Q153)+(-15342.70531*R153)+(-4201.853217*S153)+(-25291.41891*T153)</f>
        <v>700605.74104975152</v>
      </c>
      <c r="V153">
        <f>M153-U153</f>
        <v>-2717.6510497515555</v>
      </c>
      <c r="W153">
        <f>V153^2</f>
        <v>7385627.2282157317</v>
      </c>
    </row>
    <row r="154" spans="1:23">
      <c r="A154" t="s">
        <v>76</v>
      </c>
      <c r="B154" s="2">
        <v>45748</v>
      </c>
      <c r="C154" t="s">
        <v>20</v>
      </c>
      <c r="D154" t="s">
        <v>21</v>
      </c>
      <c r="E154">
        <v>16451.849999999999</v>
      </c>
      <c r="F154">
        <v>4678</v>
      </c>
      <c r="G154">
        <v>0.13300000000000001</v>
      </c>
      <c r="H154">
        <v>11</v>
      </c>
      <c r="I154">
        <v>95.9</v>
      </c>
      <c r="J154">
        <v>3.1</v>
      </c>
      <c r="K154">
        <v>0</v>
      </c>
      <c r="L154">
        <v>3.9</v>
      </c>
      <c r="M154">
        <v>606278.30000000005</v>
      </c>
      <c r="N154">
        <v>102213.26</v>
      </c>
      <c r="O154">
        <f>IF($D154="High Street",1,0)</f>
        <v>0</v>
      </c>
      <c r="P154">
        <f>IF($D154="Mall",1,0)</f>
        <v>0</v>
      </c>
      <c r="Q154">
        <f>IF($D154="Airport",1,0)</f>
        <v>1</v>
      </c>
      <c r="R154">
        <f>IF($C154="North",1,0)</f>
        <v>1</v>
      </c>
      <c r="S154">
        <f>IF($C154="South",1,0)</f>
        <v>0</v>
      </c>
      <c r="T154">
        <f>IF($C154="East",1,0)</f>
        <v>0</v>
      </c>
      <c r="U154">
        <f>66915.46892+(1.209928492*E154)+(27.33619482*F154)+(-41243.14883*G154)+(3508.399163*H154)+(3062.210286*I154)+(-3438.10791*J154)+(15157.28728*K154)+(12509.46131*L154)+(20219.25907*O154)+(32832.85351*P154)+(44695.0949*Q154)+(-15342.70531*R154)+(-4201.853217*S154)+(-25291.41891*T154)</f>
        <v>608953.92295308027</v>
      </c>
      <c r="V154">
        <f>M154-U154</f>
        <v>-2675.6229530802229</v>
      </c>
      <c r="W154">
        <f>V154^2</f>
        <v>7158958.1870497325</v>
      </c>
    </row>
    <row r="155" spans="1:23">
      <c r="A155" t="s">
        <v>42</v>
      </c>
      <c r="B155" s="2">
        <v>45748</v>
      </c>
      <c r="C155" t="s">
        <v>27</v>
      </c>
      <c r="D155" t="s">
        <v>28</v>
      </c>
      <c r="E155">
        <v>36475.71</v>
      </c>
      <c r="F155">
        <v>3559</v>
      </c>
      <c r="G155">
        <v>0.03</v>
      </c>
      <c r="H155">
        <v>8</v>
      </c>
      <c r="I155">
        <v>83.6</v>
      </c>
      <c r="J155">
        <v>1.41</v>
      </c>
      <c r="K155">
        <v>0</v>
      </c>
      <c r="L155">
        <v>4.2</v>
      </c>
      <c r="M155">
        <v>569100.78</v>
      </c>
      <c r="N155">
        <v>104808.78</v>
      </c>
      <c r="O155">
        <f>IF($D155="High Street",1,0)</f>
        <v>0</v>
      </c>
      <c r="P155">
        <f>IF($D155="Mall",1,0)</f>
        <v>1</v>
      </c>
      <c r="Q155">
        <f>IF($D155="Airport",1,0)</f>
        <v>0</v>
      </c>
      <c r="R155">
        <f>IF($C155="North",1,0)</f>
        <v>0</v>
      </c>
      <c r="S155">
        <f>IF($C155="South",1,0)</f>
        <v>0</v>
      </c>
      <c r="T155">
        <f>IF($C155="East",1,0)</f>
        <v>0</v>
      </c>
      <c r="U155">
        <f>66915.46892+(1.209928492*E155)+(27.33619482*F155)+(-41243.14883*G155)+(3508.399163*H155)+(3062.210286*I155)+(-3438.10791*J155)+(15157.28728*K155)+(12509.46131*L155)+(20219.25907*O155)+(32832.85351*P155)+(44695.0949*Q155)+(-15342.70531*R155)+(-4201.853217*S155)+(-25291.41891*T155)</f>
        <v>571693.52468690928</v>
      </c>
      <c r="V155">
        <f>M155-U155</f>
        <v>-2592.7446869092528</v>
      </c>
      <c r="W155">
        <f>V155^2</f>
        <v>6722325.0114961592</v>
      </c>
    </row>
    <row r="156" spans="1:23">
      <c r="A156" t="s">
        <v>92</v>
      </c>
      <c r="B156" s="2">
        <v>45748</v>
      </c>
      <c r="C156" t="s">
        <v>24</v>
      </c>
      <c r="D156" t="s">
        <v>18</v>
      </c>
      <c r="E156">
        <v>18599.21</v>
      </c>
      <c r="F156">
        <v>3027</v>
      </c>
      <c r="G156">
        <v>0.122</v>
      </c>
      <c r="H156">
        <v>11</v>
      </c>
      <c r="I156">
        <v>80.900000000000006</v>
      </c>
      <c r="J156">
        <v>6.44</v>
      </c>
      <c r="K156">
        <v>0</v>
      </c>
      <c r="L156">
        <v>4.2</v>
      </c>
      <c r="M156">
        <v>497439.82</v>
      </c>
      <c r="N156">
        <v>93372.75</v>
      </c>
      <c r="O156">
        <f>IF($D156="High Street",1,0)</f>
        <v>1</v>
      </c>
      <c r="P156">
        <f>IF($D156="Mall",1,0)</f>
        <v>0</v>
      </c>
      <c r="Q156">
        <f>IF($D156="Airport",1,0)</f>
        <v>0</v>
      </c>
      <c r="R156">
        <f>IF($C156="North",1,0)</f>
        <v>0</v>
      </c>
      <c r="S156">
        <f>IF($C156="South",1,0)</f>
        <v>1</v>
      </c>
      <c r="T156">
        <f>IF($C156="East",1,0)</f>
        <v>0</v>
      </c>
      <c r="U156">
        <f>66915.46892+(1.209928492*E156)+(27.33619482*F156)+(-41243.14883*G156)+(3508.399163*H156)+(3062.210286*I156)+(-3438.10791*J156)+(15157.28728*K156)+(12509.46131*L156)+(20219.25907*O156)+(32832.85351*P156)+(44695.0949*Q156)+(-15342.70531*R156)+(-4201.853217*S156)+(-25291.41891*T156)</f>
        <v>499875.1119355713</v>
      </c>
      <c r="V156">
        <f>M156-U156</f>
        <v>-2435.2919355712947</v>
      </c>
      <c r="W156">
        <f>V156^2</f>
        <v>5930646.811458583</v>
      </c>
    </row>
    <row r="157" spans="1:23">
      <c r="A157" t="s">
        <v>84</v>
      </c>
      <c r="B157" s="2">
        <v>45717</v>
      </c>
      <c r="C157" t="s">
        <v>20</v>
      </c>
      <c r="D157" t="s">
        <v>18</v>
      </c>
      <c r="E157">
        <v>38361.93</v>
      </c>
      <c r="F157">
        <v>6322</v>
      </c>
      <c r="G157">
        <v>0.27300000000000002</v>
      </c>
      <c r="H157">
        <v>15</v>
      </c>
      <c r="I157">
        <v>88.4</v>
      </c>
      <c r="J157">
        <v>0.83</v>
      </c>
      <c r="K157">
        <v>0</v>
      </c>
      <c r="L157">
        <v>4</v>
      </c>
      <c r="M157">
        <v>647953.78</v>
      </c>
      <c r="N157">
        <v>118497.43</v>
      </c>
      <c r="O157">
        <f>IF($D157="High Street",1,0)</f>
        <v>1</v>
      </c>
      <c r="P157">
        <f>IF($D157="Mall",1,0)</f>
        <v>0</v>
      </c>
      <c r="Q157">
        <f>IF($D157="Airport",1,0)</f>
        <v>0</v>
      </c>
      <c r="R157">
        <f>IF($C157="North",1,0)</f>
        <v>1</v>
      </c>
      <c r="S157">
        <f>IF($C157="South",1,0)</f>
        <v>0</v>
      </c>
      <c r="T157">
        <f>IF($C157="East",1,0)</f>
        <v>0</v>
      </c>
      <c r="U157">
        <f>66915.46892+(1.209928492*E157)+(27.33619482*F157)+(-41243.14883*G157)+(3508.399163*H157)+(3062.210286*I157)+(-3438.10791*J157)+(15157.28728*K157)+(12509.46131*L157)+(20219.25907*O157)+(32832.85351*P157)+(44695.0949*Q157)+(-15342.70531*R157)+(-4201.853217*S157)+(-25291.41891*T157)</f>
        <v>650276.85121865978</v>
      </c>
      <c r="V157">
        <f>M157-U157</f>
        <v>-2323.071218659752</v>
      </c>
      <c r="W157">
        <f>V157^2</f>
        <v>5396659.8869653055</v>
      </c>
    </row>
    <row r="158" spans="1:23">
      <c r="A158" t="s">
        <v>25</v>
      </c>
      <c r="B158" s="2">
        <v>45748</v>
      </c>
      <c r="C158" t="s">
        <v>20</v>
      </c>
      <c r="D158" t="s">
        <v>16</v>
      </c>
      <c r="E158">
        <v>62060.43</v>
      </c>
      <c r="F158">
        <v>2613</v>
      </c>
      <c r="G158">
        <v>0.216</v>
      </c>
      <c r="H158">
        <v>12</v>
      </c>
      <c r="I158">
        <v>92.1</v>
      </c>
      <c r="J158">
        <v>1.55</v>
      </c>
      <c r="K158">
        <v>0</v>
      </c>
      <c r="L158">
        <v>4.7</v>
      </c>
      <c r="M158">
        <v>565810.99</v>
      </c>
      <c r="N158">
        <v>77825.460000000006</v>
      </c>
      <c r="O158">
        <f>IF($D158="High Street",1,0)</f>
        <v>0</v>
      </c>
      <c r="P158">
        <f>IF($D158="Mall",1,0)</f>
        <v>0</v>
      </c>
      <c r="Q158">
        <f>IF($D158="Airport",1,0)</f>
        <v>0</v>
      </c>
      <c r="R158">
        <f>IF($C158="North",1,0)</f>
        <v>1</v>
      </c>
      <c r="S158">
        <f>IF($C158="South",1,0)</f>
        <v>0</v>
      </c>
      <c r="T158">
        <f>IF($C158="East",1,0)</f>
        <v>0</v>
      </c>
      <c r="U158">
        <f>66915.46892+(1.209928492*E158)+(27.33619482*F158)+(-41243.14883*G158)+(3508.399163*H158)+(3062.210286*I158)+(-3438.10791*J158)+(15157.28728*K158)+(12509.46131*L158)+(20219.25907*O158)+(32832.85351*P158)+(44695.0949*Q158)+(-15342.70531*R158)+(-4201.853217*S158)+(-25291.41891*T158)</f>
        <v>566778.16120325145</v>
      </c>
      <c r="V158">
        <f>M158-U158</f>
        <v>-967.17120325146243</v>
      </c>
      <c r="W158">
        <f>V158^2</f>
        <v>935420.13639888167</v>
      </c>
    </row>
    <row r="159" spans="1:23">
      <c r="A159" t="s">
        <v>80</v>
      </c>
      <c r="B159" s="2">
        <v>45748</v>
      </c>
      <c r="C159" t="s">
        <v>27</v>
      </c>
      <c r="D159" t="s">
        <v>16</v>
      </c>
      <c r="E159">
        <v>47944.14</v>
      </c>
      <c r="F159">
        <v>6169</v>
      </c>
      <c r="G159">
        <v>0.11899999999999999</v>
      </c>
      <c r="H159">
        <v>17</v>
      </c>
      <c r="I159">
        <v>92.2</v>
      </c>
      <c r="J159">
        <v>3.02</v>
      </c>
      <c r="K159">
        <v>0</v>
      </c>
      <c r="L159">
        <v>4.0999999999999996</v>
      </c>
      <c r="M159">
        <v>670629.48</v>
      </c>
      <c r="N159">
        <v>100140.8</v>
      </c>
      <c r="O159">
        <f>IF($D159="High Street",1,0)</f>
        <v>0</v>
      </c>
      <c r="P159">
        <f>IF($D159="Mall",1,0)</f>
        <v>0</v>
      </c>
      <c r="Q159">
        <f>IF($D159="Airport",1,0)</f>
        <v>0</v>
      </c>
      <c r="R159">
        <f>IF($C159="North",1,0)</f>
        <v>0</v>
      </c>
      <c r="S159">
        <f>IF($C159="South",1,0)</f>
        <v>0</v>
      </c>
      <c r="T159">
        <f>IF($C159="East",1,0)</f>
        <v>0</v>
      </c>
      <c r="U159">
        <f>66915.46892+(1.209928492*E159)+(27.33619482*F159)+(-41243.14883*G159)+(3508.399163*H159)+(3062.210286*I159)+(-3438.10791*J159)+(15157.28728*K159)+(12509.46131*L159)+(20219.25907*O159)+(32832.85351*P159)+(44695.0949*Q159)+(-15342.70531*R159)+(-4201.853217*S159)+(-25291.41891*T159)</f>
        <v>671537.78068724694</v>
      </c>
      <c r="V159">
        <f>M159-U159</f>
        <v>-908.30068724695593</v>
      </c>
      <c r="W159">
        <f>V159^2</f>
        <v>825010.13845329243</v>
      </c>
    </row>
    <row r="160" spans="1:23">
      <c r="A160" t="s">
        <v>17</v>
      </c>
      <c r="B160" s="2">
        <v>45717</v>
      </c>
      <c r="C160" t="s">
        <v>15</v>
      </c>
      <c r="D160" t="s">
        <v>18</v>
      </c>
      <c r="E160">
        <v>46213.45</v>
      </c>
      <c r="F160">
        <v>10616</v>
      </c>
      <c r="G160">
        <v>0.122</v>
      </c>
      <c r="H160">
        <v>22</v>
      </c>
      <c r="I160">
        <v>85.2</v>
      </c>
      <c r="J160">
        <v>0.2</v>
      </c>
      <c r="K160">
        <v>1</v>
      </c>
      <c r="L160">
        <v>4.0999999999999996</v>
      </c>
      <c r="M160">
        <v>806615.54</v>
      </c>
      <c r="N160">
        <v>131364.62</v>
      </c>
      <c r="O160">
        <f>IF($D160="High Street",1,0)</f>
        <v>1</v>
      </c>
      <c r="P160">
        <f>IF($D160="Mall",1,0)</f>
        <v>0</v>
      </c>
      <c r="Q160">
        <f>IF($D160="Airport",1,0)</f>
        <v>0</v>
      </c>
      <c r="R160">
        <f>IF($C160="North",1,0)</f>
        <v>0</v>
      </c>
      <c r="S160">
        <f>IF($C160="South",1,0)</f>
        <v>0</v>
      </c>
      <c r="T160">
        <f>IF($C160="East",1,0)</f>
        <v>1</v>
      </c>
      <c r="U160">
        <f>66915.46892+(1.209928492*E160)+(27.33619482*F160)+(-41243.14883*G160)+(3508.399163*H160)+(3062.210286*I160)+(-3438.10791*J160)+(15157.28728*K160)+(12509.46131*L160)+(20219.25907*O160)+(32832.85351*P160)+(44695.0949*Q160)+(-15342.70531*R160)+(-4201.853217*S160)+(-25291.41891*T160)</f>
        <v>806771.21402267739</v>
      </c>
      <c r="V160">
        <f>M160-U160</f>
        <v>-155.67402267735451</v>
      </c>
      <c r="W160">
        <f>V160^2</f>
        <v>24234.401336549487</v>
      </c>
    </row>
    <row r="161" spans="1:23">
      <c r="A161" t="s">
        <v>38</v>
      </c>
      <c r="B161" s="2">
        <v>45748</v>
      </c>
      <c r="C161" t="s">
        <v>27</v>
      </c>
      <c r="D161" t="s">
        <v>18</v>
      </c>
      <c r="E161">
        <v>42018.400000000001</v>
      </c>
      <c r="F161">
        <v>8296</v>
      </c>
      <c r="G161">
        <v>0.115</v>
      </c>
      <c r="H161">
        <v>17</v>
      </c>
      <c r="I161">
        <v>91.8</v>
      </c>
      <c r="J161">
        <v>0.77</v>
      </c>
      <c r="K161">
        <v>0</v>
      </c>
      <c r="L161">
        <v>3.4</v>
      </c>
      <c r="M161">
        <v>740496.65</v>
      </c>
      <c r="N161">
        <v>128020.9</v>
      </c>
      <c r="O161">
        <f>IF($D161="High Street",1,0)</f>
        <v>1</v>
      </c>
      <c r="P161">
        <f>IF($D161="Mall",1,0)</f>
        <v>0</v>
      </c>
      <c r="Q161">
        <f>IF($D161="Airport",1,0)</f>
        <v>0</v>
      </c>
      <c r="R161">
        <f>IF($C161="North",1,0)</f>
        <v>0</v>
      </c>
      <c r="S161">
        <f>IF($C161="South",1,0)</f>
        <v>0</v>
      </c>
      <c r="T161">
        <f>IF($C161="East",1,0)</f>
        <v>0</v>
      </c>
      <c r="U161">
        <f>66915.46892+(1.209928492*E161)+(27.33619482*F161)+(-41243.14883*G161)+(3508.399163*H161)+(3062.210286*I161)+(-3438.10791*J161)+(15157.28728*K161)+(12509.46131*L161)+(20219.25907*O161)+(32832.85351*P161)+(44695.0949*Q161)+(-15342.70531*R161)+(-4201.853217*S161)+(-25291.41891*T161)</f>
        <v>740650.61283862288</v>
      </c>
      <c r="V161">
        <f>M161-U161</f>
        <v>-153.96283862285782</v>
      </c>
      <c r="W161">
        <f>V161^2</f>
        <v>23704.555676808159</v>
      </c>
    </row>
    <row r="162" spans="1:23">
      <c r="A162" t="s">
        <v>64</v>
      </c>
      <c r="B162" s="2">
        <v>45658</v>
      </c>
      <c r="C162" t="s">
        <v>15</v>
      </c>
      <c r="D162" t="s">
        <v>16</v>
      </c>
      <c r="E162">
        <v>62059.18</v>
      </c>
      <c r="F162">
        <v>9374</v>
      </c>
      <c r="G162">
        <v>0.13600000000000001</v>
      </c>
      <c r="H162">
        <v>25</v>
      </c>
      <c r="I162">
        <v>87.1</v>
      </c>
      <c r="J162">
        <v>12.55</v>
      </c>
      <c r="K162">
        <v>0</v>
      </c>
      <c r="L162">
        <v>4.9000000000000004</v>
      </c>
      <c r="M162">
        <v>739831.73</v>
      </c>
      <c r="N162">
        <v>119490.21</v>
      </c>
      <c r="O162">
        <f>IF($D162="High Street",1,0)</f>
        <v>0</v>
      </c>
      <c r="P162">
        <f>IF($D162="Mall",1,0)</f>
        <v>0</v>
      </c>
      <c r="Q162">
        <f>IF($D162="Airport",1,0)</f>
        <v>0</v>
      </c>
      <c r="R162">
        <f>IF($C162="North",1,0)</f>
        <v>0</v>
      </c>
      <c r="S162">
        <f>IF($C162="South",1,0)</f>
        <v>0</v>
      </c>
      <c r="T162">
        <f>IF($C162="East",1,0)</f>
        <v>1</v>
      </c>
      <c r="U162">
        <f>66915.46892+(1.209928492*E162)+(27.33619482*F162)+(-41243.14883*G162)+(3508.399163*H162)+(3062.210286*I162)+(-3438.10791*J162)+(15157.28728*K162)+(12509.46131*L162)+(20219.25907*O162)+(32832.85351*P162)+(44695.0949*Q162)+(-15342.70531*R162)+(-4201.853217*S162)+(-25291.41891*T162)</f>
        <v>739928.24321805651</v>
      </c>
      <c r="V162">
        <f>M162-U162</f>
        <v>-96.513218056526966</v>
      </c>
      <c r="W162">
        <f>V162^2</f>
        <v>9314.8012596267235</v>
      </c>
    </row>
    <row r="163" spans="1:23">
      <c r="A163" t="s">
        <v>74</v>
      </c>
      <c r="B163" s="2">
        <v>45658</v>
      </c>
      <c r="C163" t="s">
        <v>15</v>
      </c>
      <c r="D163" t="s">
        <v>18</v>
      </c>
      <c r="E163">
        <v>63457.19</v>
      </c>
      <c r="F163">
        <v>10125</v>
      </c>
      <c r="G163">
        <v>9.7000000000000003E-2</v>
      </c>
      <c r="H163">
        <v>24</v>
      </c>
      <c r="I163">
        <v>87</v>
      </c>
      <c r="J163">
        <v>3.84</v>
      </c>
      <c r="K163">
        <v>1</v>
      </c>
      <c r="L163">
        <v>3.7</v>
      </c>
      <c r="M163">
        <v>810446.53</v>
      </c>
      <c r="N163">
        <v>200575.34</v>
      </c>
      <c r="O163">
        <f>IF($D163="High Street",1,0)</f>
        <v>1</v>
      </c>
      <c r="P163">
        <f>IF($D163="Mall",1,0)</f>
        <v>0</v>
      </c>
      <c r="Q163">
        <f>IF($D163="Airport",1,0)</f>
        <v>0</v>
      </c>
      <c r="R163">
        <f>IF($C163="North",1,0)</f>
        <v>0</v>
      </c>
      <c r="S163">
        <f>IF($C163="South",1,0)</f>
        <v>0</v>
      </c>
      <c r="T163">
        <f>IF($C163="East",1,0)</f>
        <v>1</v>
      </c>
      <c r="U163">
        <f>66915.46892+(1.209928492*E163)+(27.33619482*F163)+(-41243.14883*G163)+(3508.399163*H163)+(3062.210286*I163)+(-3438.10791*J163)+(15157.28728*K163)+(12509.46131*L163)+(20219.25907*O163)+(32832.85351*P163)+(44695.0949*Q163)+(-15342.70531*R163)+(-4201.853217*S163)+(-25291.41891*T163)</f>
        <v>810254.19294584752</v>
      </c>
      <c r="V163">
        <f>M163-U163</f>
        <v>192.33705415250733</v>
      </c>
      <c r="W163">
        <f>V163^2</f>
        <v>36993.542400064536</v>
      </c>
    </row>
    <row r="164" spans="1:23">
      <c r="A164" t="s">
        <v>101</v>
      </c>
      <c r="B164" s="2">
        <v>45717</v>
      </c>
      <c r="C164" t="s">
        <v>15</v>
      </c>
      <c r="D164" t="s">
        <v>16</v>
      </c>
      <c r="E164">
        <v>81902.58</v>
      </c>
      <c r="F164">
        <v>7775</v>
      </c>
      <c r="G164">
        <v>0.215</v>
      </c>
      <c r="H164">
        <v>20</v>
      </c>
      <c r="I164">
        <v>85.2</v>
      </c>
      <c r="J164">
        <v>4.8899999999999997</v>
      </c>
      <c r="K164">
        <v>1</v>
      </c>
      <c r="L164">
        <v>4.2</v>
      </c>
      <c r="M164">
        <v>726776.22</v>
      </c>
      <c r="N164">
        <v>90804.49</v>
      </c>
      <c r="O164">
        <f>IF($D164="High Street",1,0)</f>
        <v>0</v>
      </c>
      <c r="P164">
        <f>IF($D164="Mall",1,0)</f>
        <v>0</v>
      </c>
      <c r="Q164">
        <f>IF($D164="Airport",1,0)</f>
        <v>0</v>
      </c>
      <c r="R164">
        <f>IF($C164="North",1,0)</f>
        <v>0</v>
      </c>
      <c r="S164">
        <f>IF($C164="South",1,0)</f>
        <v>0</v>
      </c>
      <c r="T164">
        <f>IF($C164="East",1,0)</f>
        <v>1</v>
      </c>
      <c r="U164">
        <f>66915.46892+(1.209928492*E164)+(27.33619482*F164)+(-41243.14883*G164)+(3508.399163*H164)+(3062.210286*I164)+(-3438.10791*J164)+(15157.28728*K164)+(12509.46131*L164)+(20219.25907*O164)+(32832.85351*P164)+(44695.0949*Q164)+(-15342.70531*R164)+(-4201.853217*S164)+(-25291.41891*T164)</f>
        <v>726344.92957665934</v>
      </c>
      <c r="V164">
        <f>M164-U164</f>
        <v>431.29042334062979</v>
      </c>
      <c r="W164">
        <f>V164^2</f>
        <v>186011.42926533966</v>
      </c>
    </row>
    <row r="165" spans="1:23">
      <c r="A165" t="s">
        <v>75</v>
      </c>
      <c r="B165" s="2">
        <v>45748</v>
      </c>
      <c r="C165" t="s">
        <v>27</v>
      </c>
      <c r="D165" t="s">
        <v>16</v>
      </c>
      <c r="E165">
        <v>47391.09</v>
      </c>
      <c r="F165">
        <v>11224</v>
      </c>
      <c r="G165">
        <v>0.14699999999999999</v>
      </c>
      <c r="H165">
        <v>25</v>
      </c>
      <c r="I165">
        <v>88.4</v>
      </c>
      <c r="J165">
        <v>2.44</v>
      </c>
      <c r="K165">
        <v>0</v>
      </c>
      <c r="L165">
        <v>4.9000000000000004</v>
      </c>
      <c r="M165">
        <v>836908.24</v>
      </c>
      <c r="N165">
        <v>141090.26</v>
      </c>
      <c r="O165">
        <f>IF($D165="High Street",1,0)</f>
        <v>0</v>
      </c>
      <c r="P165">
        <f>IF($D165="Mall",1,0)</f>
        <v>0</v>
      </c>
      <c r="Q165">
        <f>IF($D165="Airport",1,0)</f>
        <v>0</v>
      </c>
      <c r="R165">
        <f>IF($C165="North",1,0)</f>
        <v>0</v>
      </c>
      <c r="S165">
        <f>IF($C165="South",1,0)</f>
        <v>0</v>
      </c>
      <c r="T165">
        <f>IF($C165="East",1,0)</f>
        <v>0</v>
      </c>
      <c r="U165">
        <f>66915.46892+(1.209928492*E165)+(27.33619482*F165)+(-41243.14883*G165)+(3508.399163*H165)+(3062.210286*I165)+(-3438.10791*J165)+(15157.28728*K165)+(12509.46131*L165)+(20219.25907*O165)+(32832.85351*P165)+(44695.0949*Q165)+(-15342.70531*R165)+(-4201.853217*S165)+(-25291.41891*T165)</f>
        <v>836330.75223560631</v>
      </c>
      <c r="V165">
        <f>M165-U165</f>
        <v>577.48776439367794</v>
      </c>
      <c r="W165">
        <f>V165^2</f>
        <v>333492.11802440806</v>
      </c>
    </row>
    <row r="166" spans="1:23">
      <c r="A166" t="s">
        <v>70</v>
      </c>
      <c r="B166" s="2">
        <v>45689</v>
      </c>
      <c r="C166" t="s">
        <v>27</v>
      </c>
      <c r="D166" t="s">
        <v>16</v>
      </c>
      <c r="E166">
        <v>51133.43</v>
      </c>
      <c r="F166">
        <v>5150</v>
      </c>
      <c r="G166">
        <v>0.15</v>
      </c>
      <c r="H166">
        <v>12</v>
      </c>
      <c r="I166">
        <v>88.5</v>
      </c>
      <c r="J166">
        <v>1.54</v>
      </c>
      <c r="K166">
        <v>0</v>
      </c>
      <c r="L166">
        <v>3.2</v>
      </c>
      <c r="M166">
        <v>611924.27</v>
      </c>
      <c r="N166">
        <v>115488.75</v>
      </c>
      <c r="O166">
        <f>IF($D166="High Street",1,0)</f>
        <v>0</v>
      </c>
      <c r="P166">
        <f>IF($D166="Mall",1,0)</f>
        <v>0</v>
      </c>
      <c r="Q166">
        <f>IF($D166="Airport",1,0)</f>
        <v>0</v>
      </c>
      <c r="R166">
        <f>IF($C166="North",1,0)</f>
        <v>0</v>
      </c>
      <c r="S166">
        <f>IF($C166="South",1,0)</f>
        <v>0</v>
      </c>
      <c r="T166">
        <f>IF($C166="East",1,0)</f>
        <v>0</v>
      </c>
      <c r="U166">
        <f>66915.46892+(1.209928492*E166)+(27.33619482*F166)+(-41243.14883*G166)+(3508.399163*H166)+(3062.210286*I166)+(-3438.10791*J166)+(15157.28728*K166)+(12509.46131*L166)+(20219.25907*O166)+(32832.85351*P166)+(44695.0949*Q166)+(-15342.70531*R166)+(-4201.853217*S166)+(-25291.41891*T166)</f>
        <v>611220.18404678756</v>
      </c>
      <c r="V166">
        <f>M166-U166</f>
        <v>704.08595321245957</v>
      </c>
      <c r="W166">
        <f>V166^2</f>
        <v>495737.02951109782</v>
      </c>
    </row>
    <row r="167" spans="1:23">
      <c r="A167" t="s">
        <v>37</v>
      </c>
      <c r="B167" s="2">
        <v>45717</v>
      </c>
      <c r="C167" t="s">
        <v>24</v>
      </c>
      <c r="D167" t="s">
        <v>18</v>
      </c>
      <c r="E167">
        <v>50343.19</v>
      </c>
      <c r="F167">
        <v>3845</v>
      </c>
      <c r="G167">
        <v>0.113</v>
      </c>
      <c r="H167">
        <v>9</v>
      </c>
      <c r="I167">
        <v>88.7</v>
      </c>
      <c r="J167">
        <v>5.15</v>
      </c>
      <c r="K167">
        <v>0</v>
      </c>
      <c r="L167">
        <v>3.3</v>
      </c>
      <c r="M167">
        <v>572011.19999999995</v>
      </c>
      <c r="N167">
        <v>101409.68</v>
      </c>
      <c r="O167">
        <f>IF($D167="High Street",1,0)</f>
        <v>1</v>
      </c>
      <c r="P167">
        <f>IF($D167="Mall",1,0)</f>
        <v>0</v>
      </c>
      <c r="Q167">
        <f>IF($D167="Airport",1,0)</f>
        <v>0</v>
      </c>
      <c r="R167">
        <f>IF($C167="North",1,0)</f>
        <v>0</v>
      </c>
      <c r="S167">
        <f>IF($C167="South",1,0)</f>
        <v>1</v>
      </c>
      <c r="T167">
        <f>IF($C167="East",1,0)</f>
        <v>0</v>
      </c>
      <c r="U167">
        <f>66915.46892+(1.209928492*E167)+(27.33619482*F167)+(-41243.14883*G167)+(3508.399163*H167)+(3062.210286*I167)+(-3438.10791*J167)+(15157.28728*K167)+(12509.46131*L167)+(20219.25907*O167)+(32832.85351*P167)+(44695.0949*Q167)+(-15342.70531*R167)+(-4201.853217*S167)+(-25291.41891*T167)</f>
        <v>571060.33941897948</v>
      </c>
      <c r="V167">
        <f>M167-U167</f>
        <v>950.86058102047537</v>
      </c>
      <c r="W167">
        <f>V167^2</f>
        <v>904135.84453859599</v>
      </c>
    </row>
    <row r="168" spans="1:23">
      <c r="A168" t="s">
        <v>58</v>
      </c>
      <c r="B168" s="2">
        <v>45689</v>
      </c>
      <c r="C168" t="s">
        <v>20</v>
      </c>
      <c r="D168" t="s">
        <v>16</v>
      </c>
      <c r="E168">
        <v>50909.27</v>
      </c>
      <c r="F168">
        <v>3152</v>
      </c>
      <c r="G168">
        <v>0.06</v>
      </c>
      <c r="H168">
        <v>13</v>
      </c>
      <c r="I168">
        <v>93.7</v>
      </c>
      <c r="J168">
        <v>10.79</v>
      </c>
      <c r="K168">
        <v>0</v>
      </c>
      <c r="L168">
        <v>3.5</v>
      </c>
      <c r="M168">
        <v>537058.32999999996</v>
      </c>
      <c r="N168">
        <v>93555.71</v>
      </c>
      <c r="O168">
        <f>IF($D168="High Street",1,0)</f>
        <v>0</v>
      </c>
      <c r="P168">
        <f>IF($D168="Mall",1,0)</f>
        <v>0</v>
      </c>
      <c r="Q168">
        <f>IF($D168="Airport",1,0)</f>
        <v>0</v>
      </c>
      <c r="R168">
        <f>IF($C168="North",1,0)</f>
        <v>1</v>
      </c>
      <c r="S168">
        <f>IF($C168="South",1,0)</f>
        <v>0</v>
      </c>
      <c r="T168">
        <f>IF($C168="East",1,0)</f>
        <v>0</v>
      </c>
      <c r="U168">
        <f>66915.46892+(1.209928492*E168)+(27.33619482*F168)+(-41243.14883*G168)+(3508.399163*H168)+(3062.210286*I168)+(-3438.10791*J168)+(15157.28728*K168)+(12509.46131*L168)+(20219.25907*O168)+(32832.85351*P168)+(44695.0949*Q168)+(-15342.70531*R168)+(-4201.853217*S168)+(-25291.41891*T168)</f>
        <v>536082.66018606082</v>
      </c>
      <c r="V168">
        <f>M168-U168</f>
        <v>975.66981393913738</v>
      </c>
      <c r="W168">
        <f>V168^2</f>
        <v>951931.58583203098</v>
      </c>
    </row>
    <row r="169" spans="1:23">
      <c r="A169" t="s">
        <v>38</v>
      </c>
      <c r="B169" s="2">
        <v>45689</v>
      </c>
      <c r="C169" t="s">
        <v>27</v>
      </c>
      <c r="D169" t="s">
        <v>18</v>
      </c>
      <c r="E169">
        <v>51148.69</v>
      </c>
      <c r="F169">
        <v>7940</v>
      </c>
      <c r="G169">
        <v>0.156</v>
      </c>
      <c r="H169">
        <v>18</v>
      </c>
      <c r="I169">
        <v>93.3</v>
      </c>
      <c r="J169">
        <v>10.91</v>
      </c>
      <c r="K169">
        <v>0</v>
      </c>
      <c r="L169">
        <v>3.6</v>
      </c>
      <c r="M169">
        <v>717141.55</v>
      </c>
      <c r="N169">
        <v>134013.60999999999</v>
      </c>
      <c r="O169">
        <f>IF($D169="High Street",1,0)</f>
        <v>1</v>
      </c>
      <c r="P169">
        <f>IF($D169="Mall",1,0)</f>
        <v>0</v>
      </c>
      <c r="Q169">
        <f>IF($D169="Airport",1,0)</f>
        <v>0</v>
      </c>
      <c r="R169">
        <f>IF($C169="North",1,0)</f>
        <v>0</v>
      </c>
      <c r="S169">
        <f>IF($C169="South",1,0)</f>
        <v>0</v>
      </c>
      <c r="T169">
        <f>IF($C169="East",1,0)</f>
        <v>0</v>
      </c>
      <c r="U169">
        <f>66915.46892+(1.209928492*E169)+(27.33619482*F169)+(-41243.14883*G169)+(3508.399163*H169)+(3062.210286*I169)+(-3438.10791*J169)+(15157.28728*K169)+(12509.46131*L169)+(20219.25907*O169)+(32832.85351*P169)+(44695.0949*Q169)+(-15342.70531*R169)+(-4201.853217*S169)+(-25291.41891*T169)</f>
        <v>716016.1490384955</v>
      </c>
      <c r="V169">
        <f>M169-U169</f>
        <v>1125.4009615045507</v>
      </c>
      <c r="W169">
        <f>V169^2</f>
        <v>1266527.324155367</v>
      </c>
    </row>
    <row r="170" spans="1:23">
      <c r="A170" t="s">
        <v>77</v>
      </c>
      <c r="B170" s="2">
        <v>45689</v>
      </c>
      <c r="C170" t="s">
        <v>15</v>
      </c>
      <c r="D170" t="s">
        <v>18</v>
      </c>
      <c r="E170">
        <v>27194.639999999999</v>
      </c>
      <c r="F170">
        <v>7404</v>
      </c>
      <c r="G170">
        <v>8.7999999999999995E-2</v>
      </c>
      <c r="H170">
        <v>18</v>
      </c>
      <c r="I170">
        <v>90.2</v>
      </c>
      <c r="J170">
        <v>1.2</v>
      </c>
      <c r="K170">
        <v>0</v>
      </c>
      <c r="L170">
        <v>3.4</v>
      </c>
      <c r="M170">
        <v>672670.54</v>
      </c>
      <c r="N170">
        <v>132684.18</v>
      </c>
      <c r="O170">
        <f>IF($D170="High Street",1,0)</f>
        <v>1</v>
      </c>
      <c r="P170">
        <f>IF($D170="Mall",1,0)</f>
        <v>0</v>
      </c>
      <c r="Q170">
        <f>IF($D170="Airport",1,0)</f>
        <v>0</v>
      </c>
      <c r="R170">
        <f>IF($C170="North",1,0)</f>
        <v>0</v>
      </c>
      <c r="S170">
        <f>IF($C170="South",1,0)</f>
        <v>0</v>
      </c>
      <c r="T170">
        <f>IF($C170="East",1,0)</f>
        <v>1</v>
      </c>
      <c r="U170">
        <f>66915.46892+(1.209928492*E170)+(27.33619482*F170)+(-41243.14883*G170)+(3508.399163*H170)+(3062.210286*I170)+(-3438.10791*J170)+(15157.28728*K170)+(12509.46131*L170)+(20219.25907*O170)+(32832.85351*P170)+(44695.0949*Q170)+(-15342.70531*R170)+(-4201.853217*S170)+(-25291.41891*T170)</f>
        <v>671283.65988912294</v>
      </c>
      <c r="V170">
        <f>M170-U170</f>
        <v>1386.8801108771004</v>
      </c>
      <c r="W170">
        <f>V170^2</f>
        <v>1923436.4419464783</v>
      </c>
    </row>
    <row r="171" spans="1:23">
      <c r="A171" t="s">
        <v>30</v>
      </c>
      <c r="B171" s="2">
        <v>45717</v>
      </c>
      <c r="C171" t="s">
        <v>20</v>
      </c>
      <c r="D171" t="s">
        <v>16</v>
      </c>
      <c r="E171">
        <v>74413.88</v>
      </c>
      <c r="F171">
        <v>9449</v>
      </c>
      <c r="G171">
        <v>3.9E-2</v>
      </c>
      <c r="H171">
        <v>23</v>
      </c>
      <c r="I171">
        <v>92.1</v>
      </c>
      <c r="J171">
        <v>2.12</v>
      </c>
      <c r="K171">
        <v>0</v>
      </c>
      <c r="L171">
        <v>3.5</v>
      </c>
      <c r="M171">
        <v>798952.17</v>
      </c>
      <c r="N171">
        <v>161499.04</v>
      </c>
      <c r="O171">
        <f>IF($D171="High Street",1,0)</f>
        <v>0</v>
      </c>
      <c r="P171">
        <f>IF($D171="Mall",1,0)</f>
        <v>0</v>
      </c>
      <c r="Q171">
        <f>IF($D171="Airport",1,0)</f>
        <v>0</v>
      </c>
      <c r="R171">
        <f>IF($C171="North",1,0)</f>
        <v>1</v>
      </c>
      <c r="S171">
        <f>IF($C171="South",1,0)</f>
        <v>0</v>
      </c>
      <c r="T171">
        <f>IF($C171="East",1,0)</f>
        <v>0</v>
      </c>
      <c r="U171">
        <f>66915.46892+(1.209928492*E171)+(27.33619482*F171)+(-41243.14883*G171)+(3508.399163*H171)+(3062.210286*I171)+(-3438.10791*J171)+(15157.28728*K171)+(12509.46131*L171)+(20219.25907*O171)+(32832.85351*P171)+(44695.0949*Q171)+(-15342.70531*R171)+(-4201.853217*S171)+(-25291.41891*T171)</f>
        <v>797516.53317747894</v>
      </c>
      <c r="V171">
        <f>M171-U171</f>
        <v>1435.6368225211045</v>
      </c>
      <c r="W171">
        <f>V171^2</f>
        <v>2061053.0861784932</v>
      </c>
    </row>
    <row r="172" spans="1:23">
      <c r="A172" t="s">
        <v>90</v>
      </c>
      <c r="B172" s="2">
        <v>45658</v>
      </c>
      <c r="C172" t="s">
        <v>27</v>
      </c>
      <c r="D172" t="s">
        <v>18</v>
      </c>
      <c r="E172">
        <v>50532.17</v>
      </c>
      <c r="F172">
        <v>5689</v>
      </c>
      <c r="G172">
        <v>5.1999999999999998E-2</v>
      </c>
      <c r="H172">
        <v>17</v>
      </c>
      <c r="I172">
        <v>85.6</v>
      </c>
      <c r="J172">
        <v>6.23</v>
      </c>
      <c r="K172">
        <v>0</v>
      </c>
      <c r="L172">
        <v>3.3</v>
      </c>
      <c r="M172">
        <v>645039.97</v>
      </c>
      <c r="N172">
        <v>83093.33</v>
      </c>
      <c r="O172">
        <f>IF($D172="High Street",1,0)</f>
        <v>1</v>
      </c>
      <c r="P172">
        <f>IF($D172="Mall",1,0)</f>
        <v>0</v>
      </c>
      <c r="Q172">
        <f>IF($D172="Airport",1,0)</f>
        <v>0</v>
      </c>
      <c r="R172">
        <f>IF($C172="North",1,0)</f>
        <v>0</v>
      </c>
      <c r="S172">
        <f>IF($C172="South",1,0)</f>
        <v>0</v>
      </c>
      <c r="T172">
        <f>IF($C172="East",1,0)</f>
        <v>0</v>
      </c>
      <c r="U172">
        <f>66915.46892+(1.209928492*E172)+(27.33619482*F172)+(-41243.14883*G172)+(3508.399163*H172)+(3062.210286*I172)+(-3438.10791*J172)+(15157.28728*K172)+(12509.46131*L172)+(20219.25907*O172)+(32832.85351*P172)+(44695.0949*Q172)+(-15342.70531*R172)+(-4201.853217*S172)+(-25291.41891*T172)</f>
        <v>643275.80512370763</v>
      </c>
      <c r="V172">
        <f>M172-U172</f>
        <v>1764.1648762923433</v>
      </c>
      <c r="W172">
        <f>V172^2</f>
        <v>3112277.7107435786</v>
      </c>
    </row>
    <row r="173" spans="1:23">
      <c r="A173" t="s">
        <v>32</v>
      </c>
      <c r="B173" s="2">
        <v>45748</v>
      </c>
      <c r="C173" t="s">
        <v>15</v>
      </c>
      <c r="D173" t="s">
        <v>28</v>
      </c>
      <c r="E173">
        <v>64882.14</v>
      </c>
      <c r="F173">
        <v>3642</v>
      </c>
      <c r="G173">
        <v>1.9E-2</v>
      </c>
      <c r="H173">
        <v>13</v>
      </c>
      <c r="I173">
        <v>87.8</v>
      </c>
      <c r="J173">
        <v>4.5199999999999996</v>
      </c>
      <c r="K173">
        <v>0</v>
      </c>
      <c r="L173">
        <v>4.2</v>
      </c>
      <c r="M173">
        <v>605178</v>
      </c>
      <c r="N173">
        <v>106958.74</v>
      </c>
      <c r="O173">
        <f>IF($D173="High Street",1,0)</f>
        <v>0</v>
      </c>
      <c r="P173">
        <f>IF($D173="Mall",1,0)</f>
        <v>1</v>
      </c>
      <c r="Q173">
        <f>IF($D173="Airport",1,0)</f>
        <v>0</v>
      </c>
      <c r="R173">
        <f>IF($C173="North",1,0)</f>
        <v>0</v>
      </c>
      <c r="S173">
        <f>IF($C173="South",1,0)</f>
        <v>0</v>
      </c>
      <c r="T173">
        <f>IF($C173="East",1,0)</f>
        <v>1</v>
      </c>
      <c r="U173">
        <f>66915.46892+(1.209928492*E173)+(27.33619482*F173)+(-41243.14883*G173)+(3508.399163*H173)+(3062.210286*I173)+(-3438.10791*J173)+(15157.28728*K173)+(12509.46131*L173)+(20219.25907*O173)+(32832.85351*P173)+(44695.0949*Q173)+(-15342.70531*R173)+(-4201.853217*S173)+(-25291.41891*T173)</f>
        <v>603205.19701320282</v>
      </c>
      <c r="V173">
        <f>M173-U173</f>
        <v>1972.8029867971782</v>
      </c>
      <c r="W173">
        <f>V173^2</f>
        <v>3891951.624715867</v>
      </c>
    </row>
    <row r="174" spans="1:23">
      <c r="A174" t="s">
        <v>101</v>
      </c>
      <c r="B174" s="2">
        <v>45748</v>
      </c>
      <c r="C174" t="s">
        <v>15</v>
      </c>
      <c r="D174" t="s">
        <v>16</v>
      </c>
      <c r="E174">
        <v>40553.11</v>
      </c>
      <c r="F174">
        <v>5317</v>
      </c>
      <c r="G174">
        <v>0.16500000000000001</v>
      </c>
      <c r="H174">
        <v>17</v>
      </c>
      <c r="I174">
        <v>84.3</v>
      </c>
      <c r="J174">
        <v>11.82</v>
      </c>
      <c r="K174">
        <v>0</v>
      </c>
      <c r="L174">
        <v>4.0999999999999996</v>
      </c>
      <c r="M174">
        <v>559660.84</v>
      </c>
      <c r="N174">
        <v>71443.61</v>
      </c>
      <c r="O174">
        <f>IF($D174="High Street",1,0)</f>
        <v>0</v>
      </c>
      <c r="P174">
        <f>IF($D174="Mall",1,0)</f>
        <v>0</v>
      </c>
      <c r="Q174">
        <f>IF($D174="Airport",1,0)</f>
        <v>0</v>
      </c>
      <c r="R174">
        <f>IF($C174="North",1,0)</f>
        <v>0</v>
      </c>
      <c r="S174">
        <f>IF($C174="South",1,0)</f>
        <v>0</v>
      </c>
      <c r="T174">
        <f>IF($C174="East",1,0)</f>
        <v>1</v>
      </c>
      <c r="U174">
        <f>66915.46892+(1.209928492*E174)+(27.33619482*F174)+(-41243.14883*G174)+(3508.399163*H174)+(3062.210286*I174)+(-3438.10791*J174)+(15157.28728*K174)+(12509.46131*L174)+(20219.25907*O174)+(32832.85351*P174)+(44695.0949*Q174)+(-15342.70531*R174)+(-4201.853217*S174)+(-25291.41891*T174)</f>
        <v>557669.31029480009</v>
      </c>
      <c r="V174">
        <f>M174-U174</f>
        <v>1991.5297051998787</v>
      </c>
      <c r="W174">
        <f>V174^2</f>
        <v>3966190.5666935155</v>
      </c>
    </row>
    <row r="175" spans="1:23">
      <c r="A175" t="s">
        <v>85</v>
      </c>
      <c r="B175" s="2">
        <v>45658</v>
      </c>
      <c r="C175" t="s">
        <v>24</v>
      </c>
      <c r="D175" t="s">
        <v>21</v>
      </c>
      <c r="E175">
        <v>81801.8</v>
      </c>
      <c r="F175">
        <v>6782</v>
      </c>
      <c r="G175">
        <v>0.05</v>
      </c>
      <c r="H175">
        <v>16</v>
      </c>
      <c r="I175">
        <v>99</v>
      </c>
      <c r="J175">
        <v>9.5399999999999991</v>
      </c>
      <c r="K175">
        <v>0</v>
      </c>
      <c r="L175">
        <v>3.7</v>
      </c>
      <c r="M175">
        <v>764949</v>
      </c>
      <c r="N175">
        <v>148322.43</v>
      </c>
      <c r="O175">
        <f>IF($D175="High Street",1,0)</f>
        <v>0</v>
      </c>
      <c r="P175">
        <f>IF($D175="Mall",1,0)</f>
        <v>0</v>
      </c>
      <c r="Q175">
        <f>IF($D175="Airport",1,0)</f>
        <v>1</v>
      </c>
      <c r="R175">
        <f>IF($C175="North",1,0)</f>
        <v>0</v>
      </c>
      <c r="S175">
        <f>IF($C175="South",1,0)</f>
        <v>1</v>
      </c>
      <c r="T175">
        <f>IF($C175="East",1,0)</f>
        <v>0</v>
      </c>
      <c r="U175">
        <f>66915.46892+(1.209928492*E175)+(27.33619482*F175)+(-41243.14883*G175)+(3508.399163*H175)+(3062.210286*I175)+(-3438.10791*J175)+(15157.28728*K175)+(12509.46131*L175)+(20219.25907*O175)+(32832.85351*P175)+(44695.0949*Q175)+(-15342.70531*R175)+(-4201.853217*S175)+(-25291.41891*T175)</f>
        <v>762493.61725522566</v>
      </c>
      <c r="V175">
        <f>M175-U175</f>
        <v>2455.3827447743388</v>
      </c>
      <c r="W175">
        <f>V175^2</f>
        <v>6028904.4233355662</v>
      </c>
    </row>
    <row r="176" spans="1:23">
      <c r="A176" t="s">
        <v>32</v>
      </c>
      <c r="B176" s="2">
        <v>45689</v>
      </c>
      <c r="C176" t="s">
        <v>15</v>
      </c>
      <c r="D176" t="s">
        <v>28</v>
      </c>
      <c r="E176">
        <v>46123.88</v>
      </c>
      <c r="F176">
        <v>3227</v>
      </c>
      <c r="G176">
        <v>0.14299999999999999</v>
      </c>
      <c r="H176">
        <v>10</v>
      </c>
      <c r="I176">
        <v>75.400000000000006</v>
      </c>
      <c r="J176">
        <v>1.06</v>
      </c>
      <c r="K176">
        <v>0</v>
      </c>
      <c r="L176">
        <v>4.4000000000000004</v>
      </c>
      <c r="M176">
        <v>532644.46</v>
      </c>
      <c r="N176">
        <v>60681.32</v>
      </c>
      <c r="O176">
        <f>IF($D176="High Street",1,0)</f>
        <v>0</v>
      </c>
      <c r="P176">
        <f>IF($D176="Mall",1,0)</f>
        <v>1</v>
      </c>
      <c r="Q176">
        <f>IF($D176="Airport",1,0)</f>
        <v>0</v>
      </c>
      <c r="R176">
        <f>IF($C176="North",1,0)</f>
        <v>0</v>
      </c>
      <c r="S176">
        <f>IF($C176="South",1,0)</f>
        <v>0</v>
      </c>
      <c r="T176">
        <f>IF($C176="East",1,0)</f>
        <v>1</v>
      </c>
      <c r="U176">
        <f>66915.46892+(1.209928492*E176)+(27.33619482*F176)+(-41243.14883*G176)+(3508.399163*H176)+(3062.210286*I176)+(-3438.10791*J176)+(15157.28728*K176)+(12509.46131*L176)+(20219.25907*O176)+(32832.85351*P176)+(44695.0949*Q176)+(-15342.70531*R176)+(-4201.853217*S176)+(-25291.41891*T176)</f>
        <v>529951.51306883898</v>
      </c>
      <c r="V176">
        <f>M176-U176</f>
        <v>2692.9469311609864</v>
      </c>
      <c r="W176">
        <f>V176^2</f>
        <v>7251963.1740493746</v>
      </c>
    </row>
    <row r="177" spans="1:23">
      <c r="A177" t="s">
        <v>44</v>
      </c>
      <c r="B177" s="2">
        <v>45748</v>
      </c>
      <c r="C177" t="s">
        <v>24</v>
      </c>
      <c r="D177" t="s">
        <v>28</v>
      </c>
      <c r="E177">
        <v>31207.51</v>
      </c>
      <c r="F177">
        <v>3701</v>
      </c>
      <c r="G177">
        <v>4.2999999999999997E-2</v>
      </c>
      <c r="H177">
        <v>11</v>
      </c>
      <c r="I177">
        <v>84.7</v>
      </c>
      <c r="J177">
        <v>0.33</v>
      </c>
      <c r="K177">
        <v>0</v>
      </c>
      <c r="L177">
        <v>4.3</v>
      </c>
      <c r="M177">
        <v>586307.22</v>
      </c>
      <c r="N177">
        <v>73927.850000000006</v>
      </c>
      <c r="O177">
        <f>IF($D177="High Street",1,0)</f>
        <v>0</v>
      </c>
      <c r="P177">
        <f>IF($D177="Mall",1,0)</f>
        <v>1</v>
      </c>
      <c r="Q177">
        <f>IF($D177="Airport",1,0)</f>
        <v>0</v>
      </c>
      <c r="R177">
        <f>IF($C177="North",1,0)</f>
        <v>0</v>
      </c>
      <c r="S177">
        <f>IF($C177="South",1,0)</f>
        <v>1</v>
      </c>
      <c r="T177">
        <f>IF($C177="East",1,0)</f>
        <v>0</v>
      </c>
      <c r="U177">
        <f>66915.46892+(1.209928492*E177)+(27.33619482*F177)+(-41243.14883*G177)+(3508.399163*H177)+(3062.210286*I177)+(-3438.10791*J177)+(15157.28728*K177)+(12509.46131*L177)+(20219.25907*O177)+(32832.85351*P177)+(44695.0949*Q177)+(-15342.70531*R177)+(-4201.853217*S177)+(-25291.41891*T177)</f>
        <v>583320.83639540488</v>
      </c>
      <c r="V177">
        <f>M177-U177</f>
        <v>2986.3836045950884</v>
      </c>
      <c r="W177">
        <f>V177^2</f>
        <v>8918487.0337943528</v>
      </c>
    </row>
    <row r="178" spans="1:23">
      <c r="A178" t="s">
        <v>44</v>
      </c>
      <c r="B178" s="2">
        <v>45717</v>
      </c>
      <c r="C178" t="s">
        <v>24</v>
      </c>
      <c r="D178" t="s">
        <v>28</v>
      </c>
      <c r="E178">
        <v>82116.19</v>
      </c>
      <c r="F178">
        <v>5988</v>
      </c>
      <c r="G178">
        <v>0.04</v>
      </c>
      <c r="H178">
        <v>17</v>
      </c>
      <c r="I178">
        <v>91.8</v>
      </c>
      <c r="J178">
        <v>5.75</v>
      </c>
      <c r="K178">
        <v>0</v>
      </c>
      <c r="L178">
        <v>4.7</v>
      </c>
      <c r="M178">
        <v>739852.58</v>
      </c>
      <c r="N178">
        <v>129386.43</v>
      </c>
      <c r="O178">
        <f>IF($D178="High Street",1,0)</f>
        <v>0</v>
      </c>
      <c r="P178">
        <f>IF($D178="Mall",1,0)</f>
        <v>1</v>
      </c>
      <c r="Q178">
        <f>IF($D178="Airport",1,0)</f>
        <v>0</v>
      </c>
      <c r="R178">
        <f>IF($C178="North",1,0)</f>
        <v>0</v>
      </c>
      <c r="S178">
        <f>IF($C178="South",1,0)</f>
        <v>1</v>
      </c>
      <c r="T178">
        <f>IF($C178="East",1,0)</f>
        <v>0</v>
      </c>
      <c r="U178">
        <f>66915.46892+(1.209928492*E178)+(27.33619482*F178)+(-41243.14883*G178)+(3508.399163*H178)+(3062.210286*I178)+(-3438.10791*J178)+(15157.28728*K178)+(12509.46131*L178)+(20219.25907*O178)+(32832.85351*P178)+(44695.0949*Q178)+(-15342.70531*R178)+(-4201.853217*S178)+(-25291.41891*T178)</f>
        <v>736719.63347774558</v>
      </c>
      <c r="V178">
        <f>M178-U178</f>
        <v>3132.9465222543804</v>
      </c>
      <c r="W178">
        <f>V178^2</f>
        <v>9815353.9113058168</v>
      </c>
    </row>
    <row r="179" spans="1:23">
      <c r="A179" t="s">
        <v>81</v>
      </c>
      <c r="B179" s="2">
        <v>45748</v>
      </c>
      <c r="C179" t="s">
        <v>27</v>
      </c>
      <c r="D179" t="s">
        <v>28</v>
      </c>
      <c r="E179">
        <v>26248.1</v>
      </c>
      <c r="F179">
        <v>9314</v>
      </c>
      <c r="G179">
        <v>0.186</v>
      </c>
      <c r="H179">
        <v>21</v>
      </c>
      <c r="I179">
        <v>83.7</v>
      </c>
      <c r="J179">
        <v>4.62</v>
      </c>
      <c r="K179">
        <v>0</v>
      </c>
      <c r="L179">
        <v>3.3</v>
      </c>
      <c r="M179">
        <v>737070.18</v>
      </c>
      <c r="N179">
        <v>117593.97</v>
      </c>
      <c r="O179">
        <f>IF($D179="High Street",1,0)</f>
        <v>0</v>
      </c>
      <c r="P179">
        <f>IF($D179="Mall",1,0)</f>
        <v>1</v>
      </c>
      <c r="Q179">
        <f>IF($D179="Airport",1,0)</f>
        <v>0</v>
      </c>
      <c r="R179">
        <f>IF($C179="North",1,0)</f>
        <v>0</v>
      </c>
      <c r="S179">
        <f>IF($C179="South",1,0)</f>
        <v>0</v>
      </c>
      <c r="T179">
        <f>IF($C179="East",1,0)</f>
        <v>0</v>
      </c>
      <c r="U179">
        <f>66915.46892+(1.209928492*E179)+(27.33619482*F179)+(-41243.14883*G179)+(3508.399163*H179)+(3062.210286*I179)+(-3438.10791*J179)+(15157.28728*K179)+(12509.46131*L179)+(20219.25907*O179)+(32832.85351*P179)+(44695.0949*Q179)+(-15342.70531*R179)+(-4201.853217*S179)+(-25291.41891*T179)</f>
        <v>733825.28649196518</v>
      </c>
      <c r="V179">
        <f>M179-U179</f>
        <v>3244.8935080348747</v>
      </c>
      <c r="W179">
        <f>V179^2</f>
        <v>10529333.878486875</v>
      </c>
    </row>
    <row r="180" spans="1:23">
      <c r="A180" t="s">
        <v>67</v>
      </c>
      <c r="B180" s="2">
        <v>45748</v>
      </c>
      <c r="C180" t="s">
        <v>27</v>
      </c>
      <c r="D180" t="s">
        <v>16</v>
      </c>
      <c r="E180">
        <v>57948.88</v>
      </c>
      <c r="F180">
        <v>10741</v>
      </c>
      <c r="G180">
        <v>7.0000000000000007E-2</v>
      </c>
      <c r="H180">
        <v>25</v>
      </c>
      <c r="I180">
        <v>90.1</v>
      </c>
      <c r="J180">
        <v>4.03</v>
      </c>
      <c r="K180">
        <v>0</v>
      </c>
      <c r="L180">
        <v>3.1</v>
      </c>
      <c r="M180">
        <v>819660.59</v>
      </c>
      <c r="N180">
        <v>172699.95</v>
      </c>
      <c r="O180">
        <f>IF($D180="High Street",1,0)</f>
        <v>0</v>
      </c>
      <c r="P180">
        <f>IF($D180="Mall",1,0)</f>
        <v>0</v>
      </c>
      <c r="Q180">
        <f>IF($D180="Airport",1,0)</f>
        <v>0</v>
      </c>
      <c r="R180">
        <f>IF($C180="North",1,0)</f>
        <v>0</v>
      </c>
      <c r="S180">
        <f>IF($C180="South",1,0)</f>
        <v>0</v>
      </c>
      <c r="T180">
        <f>IF($C180="East",1,0)</f>
        <v>0</v>
      </c>
      <c r="U180">
        <f>66915.46892+(1.209928492*E180)+(27.33619482*F180)+(-41243.14883*G180)+(3508.399163*H180)+(3062.210286*I180)+(-3438.10791*J180)+(15157.28728*K180)+(12509.46131*L180)+(20219.25907*O180)+(32832.85351*P180)+(44695.0949*Q180)+(-15342.70531*R180)+(-4201.853217*S180)+(-25291.41891*T180)</f>
        <v>816299.39908230887</v>
      </c>
      <c r="V180">
        <f>M180-U180</f>
        <v>3361.1909176910995</v>
      </c>
      <c r="W180">
        <f>V180^2</f>
        <v>11297604.385169135</v>
      </c>
    </row>
    <row r="181" spans="1:23">
      <c r="A181" t="s">
        <v>59</v>
      </c>
      <c r="B181" s="2">
        <v>45658</v>
      </c>
      <c r="C181" t="s">
        <v>24</v>
      </c>
      <c r="D181" t="s">
        <v>28</v>
      </c>
      <c r="E181">
        <v>51575.68</v>
      </c>
      <c r="F181">
        <v>5329</v>
      </c>
      <c r="G181">
        <v>4.7E-2</v>
      </c>
      <c r="H181">
        <v>17</v>
      </c>
      <c r="I181">
        <v>88.1</v>
      </c>
      <c r="J181">
        <v>19.78</v>
      </c>
      <c r="K181">
        <v>0</v>
      </c>
      <c r="L181">
        <v>3.8</v>
      </c>
      <c r="M181">
        <v>614024.91</v>
      </c>
      <c r="N181">
        <v>84828.93</v>
      </c>
      <c r="O181">
        <f>IF($D181="High Street",1,0)</f>
        <v>0</v>
      </c>
      <c r="P181">
        <f>IF($D181="Mall",1,0)</f>
        <v>1</v>
      </c>
      <c r="Q181">
        <f>IF($D181="Airport",1,0)</f>
        <v>0</v>
      </c>
      <c r="R181">
        <f>IF($C181="North",1,0)</f>
        <v>0</v>
      </c>
      <c r="S181">
        <f>IF($C181="South",1,0)</f>
        <v>1</v>
      </c>
      <c r="T181">
        <f>IF($C181="East",1,0)</f>
        <v>0</v>
      </c>
      <c r="U181">
        <f>66915.46892+(1.209928492*E181)+(27.33619482*F181)+(-41243.14883*G181)+(3508.399163*H181)+(3062.210286*I181)+(-3438.10791*J181)+(15157.28728*K181)+(12509.46131*L181)+(20219.25907*O181)+(32832.85351*P181)+(44695.0949*Q181)+(-15342.70531*R181)+(-4201.853217*S181)+(-25291.41891*T181)</f>
        <v>610639.19862584467</v>
      </c>
      <c r="V181">
        <f>M181-U181</f>
        <v>3385.7113741553621</v>
      </c>
      <c r="W181">
        <f>V181^2</f>
        <v>11463041.50908499</v>
      </c>
    </row>
    <row r="182" spans="1:23">
      <c r="A182" t="s">
        <v>25</v>
      </c>
      <c r="B182" s="2">
        <v>45717</v>
      </c>
      <c r="C182" t="s">
        <v>20</v>
      </c>
      <c r="D182" t="s">
        <v>16</v>
      </c>
      <c r="E182">
        <v>42267.37</v>
      </c>
      <c r="F182">
        <v>3364</v>
      </c>
      <c r="G182">
        <v>0.16</v>
      </c>
      <c r="H182">
        <v>13</v>
      </c>
      <c r="I182">
        <v>82</v>
      </c>
      <c r="J182">
        <v>1.61</v>
      </c>
      <c r="K182">
        <v>1</v>
      </c>
      <c r="L182">
        <v>4.5999999999999996</v>
      </c>
      <c r="M182">
        <v>555929.4</v>
      </c>
      <c r="N182">
        <v>115201.76</v>
      </c>
      <c r="O182">
        <f>IF($D182="High Street",1,0)</f>
        <v>0</v>
      </c>
      <c r="P182">
        <f>IF($D182="Mall",1,0)</f>
        <v>0</v>
      </c>
      <c r="Q182">
        <f>IF($D182="Airport",1,0)</f>
        <v>0</v>
      </c>
      <c r="R182">
        <f>IF($C182="North",1,0)</f>
        <v>1</v>
      </c>
      <c r="S182">
        <f>IF($C182="South",1,0)</f>
        <v>0</v>
      </c>
      <c r="T182">
        <f>IF($C182="East",1,0)</f>
        <v>0</v>
      </c>
      <c r="U182">
        <f>66915.46892+(1.209928492*E182)+(27.33619482*F182)+(-41243.14883*G182)+(3508.399163*H182)+(3062.210286*I182)+(-3438.10791*J182)+(15157.28728*K182)+(12509.46131*L182)+(20219.25907*O182)+(32832.85351*P182)+(44695.0949*Q182)+(-15342.70531*R182)+(-4201.853217*S182)+(-25291.41891*T182)</f>
        <v>551949.20255848602</v>
      </c>
      <c r="V182">
        <f>M182-U182</f>
        <v>3980.1974415139994</v>
      </c>
      <c r="W182">
        <f>V182^2</f>
        <v>15841971.673434587</v>
      </c>
    </row>
    <row r="183" spans="1:23">
      <c r="A183" t="s">
        <v>92</v>
      </c>
      <c r="B183" s="2">
        <v>45717</v>
      </c>
      <c r="C183" t="s">
        <v>24</v>
      </c>
      <c r="D183" t="s">
        <v>18</v>
      </c>
      <c r="E183">
        <v>66104.19</v>
      </c>
      <c r="F183">
        <v>5745</v>
      </c>
      <c r="G183">
        <v>7.0000000000000007E-2</v>
      </c>
      <c r="H183">
        <v>17</v>
      </c>
      <c r="I183">
        <v>95.8</v>
      </c>
      <c r="J183">
        <v>3.15</v>
      </c>
      <c r="K183">
        <v>0</v>
      </c>
      <c r="L183">
        <v>4</v>
      </c>
      <c r="M183">
        <v>714083.68</v>
      </c>
      <c r="N183">
        <v>127231.74</v>
      </c>
      <c r="O183">
        <f>IF($D183="High Street",1,0)</f>
        <v>1</v>
      </c>
      <c r="P183">
        <f>IF($D183="Mall",1,0)</f>
        <v>0</v>
      </c>
      <c r="Q183">
        <f>IF($D183="Airport",1,0)</f>
        <v>0</v>
      </c>
      <c r="R183">
        <f>IF($C183="North",1,0)</f>
        <v>0</v>
      </c>
      <c r="S183">
        <f>IF($C183="South",1,0)</f>
        <v>1</v>
      </c>
      <c r="T183">
        <f>IF($C183="East",1,0)</f>
        <v>0</v>
      </c>
      <c r="U183">
        <f>66915.46892+(1.209928492*E183)+(27.33619482*F183)+(-41243.14883*G183)+(3508.399163*H183)+(3062.210286*I183)+(-3438.10791*J183)+(15157.28728*K183)+(12509.46131*L183)+(20219.25907*O183)+(32832.85351*P183)+(44695.0949*Q183)+(-15342.70531*R183)+(-4201.853217*S183)+(-25291.41891*T183)</f>
        <v>709283.97301068157</v>
      </c>
      <c r="V183">
        <f>M183-U183</f>
        <v>4799.7069893184816</v>
      </c>
      <c r="W183">
        <f>V183^2</f>
        <v>23037187.183312684</v>
      </c>
    </row>
    <row r="184" spans="1:23">
      <c r="A184" t="s">
        <v>87</v>
      </c>
      <c r="B184" s="2">
        <v>45658</v>
      </c>
      <c r="C184" t="s">
        <v>27</v>
      </c>
      <c r="D184" t="s">
        <v>18</v>
      </c>
      <c r="E184">
        <v>14519.37</v>
      </c>
      <c r="F184">
        <v>3047</v>
      </c>
      <c r="G184">
        <v>0.13500000000000001</v>
      </c>
      <c r="H184">
        <v>10</v>
      </c>
      <c r="I184">
        <v>90.3</v>
      </c>
      <c r="J184">
        <v>6.62</v>
      </c>
      <c r="K184">
        <v>0</v>
      </c>
      <c r="L184">
        <v>4.2</v>
      </c>
      <c r="M184">
        <v>528852.62</v>
      </c>
      <c r="N184">
        <v>68426.210000000006</v>
      </c>
      <c r="O184">
        <f>IF($D184="High Street",1,0)</f>
        <v>1</v>
      </c>
      <c r="P184">
        <f>IF($D184="Mall",1,0)</f>
        <v>0</v>
      </c>
      <c r="Q184">
        <f>IF($D184="Airport",1,0)</f>
        <v>0</v>
      </c>
      <c r="R184">
        <f>IF($C184="North",1,0)</f>
        <v>0</v>
      </c>
      <c r="S184">
        <f>IF($C184="South",1,0)</f>
        <v>0</v>
      </c>
      <c r="T184">
        <f>IF($C184="East",1,0)</f>
        <v>0</v>
      </c>
      <c r="U184">
        <f>66915.46892+(1.209928492*E184)+(27.33619482*F184)+(-41243.14883*G184)+(3508.399163*H184)+(3062.210286*I184)+(-3438.10791*J184)+(15157.28728*K184)+(12509.46131*L184)+(20219.25907*O184)+(32832.85351*P184)+(44695.0949*Q184)+(-15342.70531*R184)+(-4201.853217*S184)+(-25291.41891*T184)</f>
        <v>523808.73155698006</v>
      </c>
      <c r="V184">
        <f>M184-U184</f>
        <v>5043.8884430199396</v>
      </c>
      <c r="W184">
        <f>V184^2</f>
        <v>25440810.625630111</v>
      </c>
    </row>
    <row r="185" spans="1:23">
      <c r="A185" t="s">
        <v>69</v>
      </c>
      <c r="B185" s="2">
        <v>45689</v>
      </c>
      <c r="C185" t="s">
        <v>15</v>
      </c>
      <c r="D185" t="s">
        <v>18</v>
      </c>
      <c r="E185">
        <v>55788.61</v>
      </c>
      <c r="F185">
        <v>2312</v>
      </c>
      <c r="G185">
        <v>5.8000000000000003E-2</v>
      </c>
      <c r="H185">
        <v>10</v>
      </c>
      <c r="I185">
        <v>91.3</v>
      </c>
      <c r="J185">
        <v>1.99</v>
      </c>
      <c r="K185">
        <v>0</v>
      </c>
      <c r="L185">
        <v>3.8</v>
      </c>
      <c r="M185">
        <v>550962.93000000005</v>
      </c>
      <c r="N185">
        <v>97144.58</v>
      </c>
      <c r="O185">
        <f>IF($D185="High Street",1,0)</f>
        <v>1</v>
      </c>
      <c r="P185">
        <f>IF($D185="Mall",1,0)</f>
        <v>0</v>
      </c>
      <c r="Q185">
        <f>IF($D185="Airport",1,0)</f>
        <v>0</v>
      </c>
      <c r="R185">
        <f>IF($C185="North",1,0)</f>
        <v>0</v>
      </c>
      <c r="S185">
        <f>IF($C185="South",1,0)</f>
        <v>0</v>
      </c>
      <c r="T185">
        <f>IF($C185="East",1,0)</f>
        <v>1</v>
      </c>
      <c r="U185">
        <f>66915.46892+(1.209928492*E185)+(27.33619482*F185)+(-41243.14883*G185)+(3508.399163*H185)+(3062.210286*I185)+(-3438.10791*J185)+(15157.28728*K185)+(12509.46131*L185)+(20219.25907*O185)+(32832.85351*P185)+(44695.0949*Q185)+(-15342.70531*R185)+(-4201.853217*S185)+(-25291.41891*T185)</f>
        <v>545510.62661867612</v>
      </c>
      <c r="V185">
        <f>M185-U185</f>
        <v>5452.3033813239308</v>
      </c>
      <c r="W185">
        <f>V185^2</f>
        <v>29727612.161996368</v>
      </c>
    </row>
    <row r="186" spans="1:23">
      <c r="A186" t="s">
        <v>54</v>
      </c>
      <c r="B186" s="2">
        <v>45748</v>
      </c>
      <c r="C186" t="s">
        <v>15</v>
      </c>
      <c r="D186" t="s">
        <v>18</v>
      </c>
      <c r="E186">
        <v>66455.8</v>
      </c>
      <c r="F186">
        <v>10836</v>
      </c>
      <c r="G186">
        <v>8.8999999999999996E-2</v>
      </c>
      <c r="H186">
        <v>25</v>
      </c>
      <c r="I186">
        <v>85</v>
      </c>
      <c r="J186">
        <v>9.77</v>
      </c>
      <c r="K186">
        <v>0</v>
      </c>
      <c r="L186">
        <v>4.5</v>
      </c>
      <c r="M186">
        <v>811452.72</v>
      </c>
      <c r="N186">
        <v>131325.67000000001</v>
      </c>
      <c r="O186">
        <f>IF($D186="High Street",1,0)</f>
        <v>1</v>
      </c>
      <c r="P186">
        <f>IF($D186="Mall",1,0)</f>
        <v>0</v>
      </c>
      <c r="Q186">
        <f>IF($D186="Airport",1,0)</f>
        <v>0</v>
      </c>
      <c r="R186">
        <f>IF($C186="North",1,0)</f>
        <v>0</v>
      </c>
      <c r="S186">
        <f>IF($C186="South",1,0)</f>
        <v>0</v>
      </c>
      <c r="T186">
        <f>IF($C186="East",1,0)</f>
        <v>1</v>
      </c>
      <c r="U186">
        <f>66915.46892+(1.209928492*E186)+(27.33619482*F186)+(-41243.14883*G186)+(3508.399163*H186)+(3062.210286*I186)+(-3438.10791*J186)+(15157.28728*K186)+(12509.46131*L186)+(20219.25907*O186)+(32832.85351*P186)+(44695.0949*Q186)+(-15342.70531*R186)+(-4201.853217*S186)+(-25291.41891*T186)</f>
        <v>805494.55678160361</v>
      </c>
      <c r="V186">
        <f>M186-U186</f>
        <v>5958.1632183963666</v>
      </c>
      <c r="W186">
        <f>V186^2</f>
        <v>35499708.937051348</v>
      </c>
    </row>
    <row r="187" spans="1:23">
      <c r="A187" t="s">
        <v>59</v>
      </c>
      <c r="B187" s="2">
        <v>45689</v>
      </c>
      <c r="C187" t="s">
        <v>24</v>
      </c>
      <c r="D187" t="s">
        <v>28</v>
      </c>
      <c r="E187">
        <v>43319.94</v>
      </c>
      <c r="F187">
        <v>6551</v>
      </c>
      <c r="G187">
        <v>4.3999999999999997E-2</v>
      </c>
      <c r="H187">
        <v>13</v>
      </c>
      <c r="I187">
        <v>99</v>
      </c>
      <c r="J187">
        <v>5.45</v>
      </c>
      <c r="K187">
        <v>0</v>
      </c>
      <c r="L187">
        <v>4.0999999999999996</v>
      </c>
      <c r="M187">
        <v>712868.35</v>
      </c>
      <c r="N187">
        <v>133650.51</v>
      </c>
      <c r="O187">
        <f>IF($D187="High Street",1,0)</f>
        <v>0</v>
      </c>
      <c r="P187">
        <f>IF($D187="Mall",1,0)</f>
        <v>1</v>
      </c>
      <c r="Q187">
        <f>IF($D187="Airport",1,0)</f>
        <v>0</v>
      </c>
      <c r="R187">
        <f>IF($C187="North",1,0)</f>
        <v>0</v>
      </c>
      <c r="S187">
        <f>IF($C187="South",1,0)</f>
        <v>1</v>
      </c>
      <c r="T187">
        <f>IF($C187="East",1,0)</f>
        <v>0</v>
      </c>
      <c r="U187">
        <f>66915.46892+(1.209928492*E187)+(27.33619482*F187)+(-41243.14883*G187)+(3508.399163*H187)+(3062.210286*I187)+(-3438.10791*J187)+(15157.28728*K187)+(12509.46131*L187)+(20219.25907*O187)+(32832.85351*P187)+(44695.0949*Q187)+(-15342.70531*R187)+(-4201.853217*S187)+(-25291.41891*T187)</f>
        <v>706544.32330253045</v>
      </c>
      <c r="V187">
        <f>M187-U187</f>
        <v>6324.026697469526</v>
      </c>
      <c r="W187">
        <f>V187^2</f>
        <v>39993313.670307316</v>
      </c>
    </row>
    <row r="188" spans="1:23">
      <c r="A188" t="s">
        <v>51</v>
      </c>
      <c r="B188" s="2">
        <v>45748</v>
      </c>
      <c r="C188" t="s">
        <v>27</v>
      </c>
      <c r="D188" t="s">
        <v>16</v>
      </c>
      <c r="E188">
        <v>54968.98</v>
      </c>
      <c r="F188">
        <v>7816</v>
      </c>
      <c r="G188">
        <v>0.23200000000000001</v>
      </c>
      <c r="H188">
        <v>19</v>
      </c>
      <c r="I188">
        <v>95.7</v>
      </c>
      <c r="J188">
        <v>7.85</v>
      </c>
      <c r="K188">
        <v>0</v>
      </c>
      <c r="L188">
        <v>4.7</v>
      </c>
      <c r="M188">
        <v>735480.19</v>
      </c>
      <c r="N188">
        <v>88342.11</v>
      </c>
      <c r="O188">
        <f>IF($D188="High Street",1,0)</f>
        <v>0</v>
      </c>
      <c r="P188">
        <f>IF($D188="Mall",1,0)</f>
        <v>0</v>
      </c>
      <c r="Q188">
        <f>IF($D188="Airport",1,0)</f>
        <v>0</v>
      </c>
      <c r="R188">
        <f>IF($C188="North",1,0)</f>
        <v>0</v>
      </c>
      <c r="S188">
        <f>IF($C188="South",1,0)</f>
        <v>0</v>
      </c>
      <c r="T188">
        <f>IF($C188="East",1,0)</f>
        <v>0</v>
      </c>
      <c r="U188">
        <f>66915.46892+(1.209928492*E188)+(27.33619482*F188)+(-41243.14883*G188)+(3508.399163*H188)+(3062.210286*I188)+(-3438.10791*J188)+(15157.28728*K188)+(12509.46131*L188)+(20219.25907*O188)+(32832.85351*P188)+(44695.0949*Q188)+(-15342.70531*R188)+(-4201.853217*S188)+(-25291.41891*T188)</f>
        <v>729033.72171343816</v>
      </c>
      <c r="V188">
        <f>M188-U188</f>
        <v>6446.4682865617797</v>
      </c>
      <c r="W188">
        <f>V188^2</f>
        <v>41556953.369646765</v>
      </c>
    </row>
    <row r="189" spans="1:23">
      <c r="A189" t="s">
        <v>83</v>
      </c>
      <c r="B189" s="2">
        <v>45689</v>
      </c>
      <c r="C189" t="s">
        <v>15</v>
      </c>
      <c r="D189" t="s">
        <v>18</v>
      </c>
      <c r="E189">
        <v>48060.78</v>
      </c>
      <c r="F189">
        <v>8733</v>
      </c>
      <c r="G189">
        <v>0</v>
      </c>
      <c r="H189">
        <v>20</v>
      </c>
      <c r="I189">
        <v>89.9</v>
      </c>
      <c r="J189">
        <v>0.8</v>
      </c>
      <c r="K189">
        <v>0</v>
      </c>
      <c r="L189">
        <v>3.4</v>
      </c>
      <c r="M189">
        <v>750471.34</v>
      </c>
      <c r="N189">
        <v>133788.04</v>
      </c>
      <c r="O189">
        <f>IF($D189="High Street",1,0)</f>
        <v>1</v>
      </c>
      <c r="P189">
        <f>IF($D189="Mall",1,0)</f>
        <v>0</v>
      </c>
      <c r="Q189">
        <f>IF($D189="Airport",1,0)</f>
        <v>0</v>
      </c>
      <c r="R189">
        <f>IF($C189="North",1,0)</f>
        <v>0</v>
      </c>
      <c r="S189">
        <f>IF($C189="South",1,0)</f>
        <v>0</v>
      </c>
      <c r="T189">
        <f>IF($C189="East",1,0)</f>
        <v>1</v>
      </c>
      <c r="U189">
        <f>66915.46892+(1.209928492*E189)+(27.33619482*F189)+(-41243.14883*G189)+(3508.399163*H189)+(3062.210286*I189)+(-3438.10791*J189)+(15157.28728*K189)+(12509.46131*L189)+(20219.25907*O189)+(32832.85351*P189)+(44695.0949*Q189)+(-15342.70531*R189)+(-4201.853217*S189)+(-25291.41891*T189)</f>
        <v>743962.77561020385</v>
      </c>
      <c r="V189">
        <f>M189-U189</f>
        <v>6508.5643897961127</v>
      </c>
      <c r="W189">
        <f>V189^2</f>
        <v>42361410.416122042</v>
      </c>
    </row>
    <row r="190" spans="1:23">
      <c r="A190" t="s">
        <v>60</v>
      </c>
      <c r="B190" s="2">
        <v>45689</v>
      </c>
      <c r="C190" t="s">
        <v>15</v>
      </c>
      <c r="D190" t="s">
        <v>18</v>
      </c>
      <c r="E190">
        <v>64374.75</v>
      </c>
      <c r="F190">
        <v>6740</v>
      </c>
      <c r="G190">
        <v>0.16900000000000001</v>
      </c>
      <c r="H190">
        <v>18</v>
      </c>
      <c r="I190">
        <v>87</v>
      </c>
      <c r="J190">
        <v>2.09</v>
      </c>
      <c r="K190">
        <v>0</v>
      </c>
      <c r="L190">
        <v>4.2</v>
      </c>
      <c r="M190">
        <v>698492.67</v>
      </c>
      <c r="N190">
        <v>117319.32</v>
      </c>
      <c r="O190">
        <f>IF($D190="High Street",1,0)</f>
        <v>1</v>
      </c>
      <c r="P190">
        <f>IF($D190="Mall",1,0)</f>
        <v>0</v>
      </c>
      <c r="Q190">
        <f>IF($D190="Airport",1,0)</f>
        <v>0</v>
      </c>
      <c r="R190">
        <f>IF($C190="North",1,0)</f>
        <v>0</v>
      </c>
      <c r="S190">
        <f>IF($C190="South",1,0)</f>
        <v>0</v>
      </c>
      <c r="T190">
        <f>IF($C190="East",1,0)</f>
        <v>1</v>
      </c>
      <c r="U190">
        <f>66915.46892+(1.209928492*E190)+(27.33619482*F190)+(-41243.14883*G190)+(3508.399163*H190)+(3062.210286*I190)+(-3438.10791*J190)+(15157.28728*K190)+(12509.46131*L190)+(20219.25907*O190)+(32832.85351*P190)+(44695.0949*Q190)+(-15342.70531*R190)+(-4201.853217*S190)+(-25291.41891*T190)</f>
        <v>691925.58599100716</v>
      </c>
      <c r="V190">
        <f>M190-U190</f>
        <v>6567.0840089928824</v>
      </c>
      <c r="W190">
        <f>V190^2</f>
        <v>43126592.381170027</v>
      </c>
    </row>
    <row r="191" spans="1:23">
      <c r="A191" t="s">
        <v>96</v>
      </c>
      <c r="B191" s="2">
        <v>45658</v>
      </c>
      <c r="C191" t="s">
        <v>27</v>
      </c>
      <c r="D191" t="s">
        <v>18</v>
      </c>
      <c r="E191">
        <v>55599.56</v>
      </c>
      <c r="F191">
        <v>5896</v>
      </c>
      <c r="G191">
        <v>3.5999999999999997E-2</v>
      </c>
      <c r="H191">
        <v>12</v>
      </c>
      <c r="I191">
        <v>93.1</v>
      </c>
      <c r="J191">
        <v>6.13</v>
      </c>
      <c r="K191">
        <v>0</v>
      </c>
      <c r="L191">
        <v>3.3</v>
      </c>
      <c r="M191">
        <v>668459.37</v>
      </c>
      <c r="N191">
        <v>126435.42</v>
      </c>
      <c r="O191">
        <f>IF($D191="High Street",1,0)</f>
        <v>1</v>
      </c>
      <c r="P191">
        <f>IF($D191="Mall",1,0)</f>
        <v>0</v>
      </c>
      <c r="Q191">
        <f>IF($D191="Airport",1,0)</f>
        <v>0</v>
      </c>
      <c r="R191">
        <f>IF($C191="North",1,0)</f>
        <v>0</v>
      </c>
      <c r="S191">
        <f>IF($C191="South",1,0)</f>
        <v>0</v>
      </c>
      <c r="T191">
        <f>IF($C191="East",1,0)</f>
        <v>0</v>
      </c>
      <c r="U191">
        <f>66915.46892+(1.209928492*E191)+(27.33619482*F191)+(-41243.14883*G191)+(3508.399163*H191)+(3062.210286*I191)+(-3438.10791*J191)+(15157.28728*K191)+(12509.46131*L191)+(20219.25907*O191)+(32832.85351*P191)+(44695.0949*Q191)+(-15342.70531*R191)+(-4201.853217*S191)+(-25291.41891*T191)</f>
        <v>661493.85949480347</v>
      </c>
      <c r="V191">
        <f>M191-U191</f>
        <v>6965.510505196522</v>
      </c>
      <c r="W191">
        <f>V191^2</f>
        <v>48518336.598003104</v>
      </c>
    </row>
    <row r="192" spans="1:23">
      <c r="A192" t="s">
        <v>57</v>
      </c>
      <c r="B192" s="2">
        <v>45689</v>
      </c>
      <c r="C192" t="s">
        <v>27</v>
      </c>
      <c r="D192" t="s">
        <v>18</v>
      </c>
      <c r="E192">
        <v>45706.49</v>
      </c>
      <c r="F192">
        <v>6704</v>
      </c>
      <c r="G192">
        <v>3.7999999999999999E-2</v>
      </c>
      <c r="H192">
        <v>15</v>
      </c>
      <c r="I192">
        <v>94.2</v>
      </c>
      <c r="J192">
        <v>2.92</v>
      </c>
      <c r="K192">
        <v>0</v>
      </c>
      <c r="L192">
        <v>4.2</v>
      </c>
      <c r="M192">
        <v>715097.57</v>
      </c>
      <c r="N192">
        <v>151875.85999999999</v>
      </c>
      <c r="O192">
        <f>IF($D192="High Street",1,0)</f>
        <v>1</v>
      </c>
      <c r="P192">
        <f>IF($D192="Mall",1,0)</f>
        <v>0</v>
      </c>
      <c r="Q192">
        <f>IF($D192="Airport",1,0)</f>
        <v>0</v>
      </c>
      <c r="R192">
        <f>IF($C192="North",1,0)</f>
        <v>0</v>
      </c>
      <c r="S192">
        <f>IF($C192="South",1,0)</f>
        <v>0</v>
      </c>
      <c r="T192">
        <f>IF($C192="East",1,0)</f>
        <v>0</v>
      </c>
      <c r="U192">
        <f>66915.46892+(1.209928492*E192)+(27.33619482*F192)+(-41243.14883*G192)+(3508.399163*H192)+(3062.210286*I192)+(-3438.10791*J192)+(15157.28728*K192)+(12509.46131*L192)+(20219.25907*O192)+(32832.85351*P192)+(44695.0949*Q192)+(-15342.70531*R192)+(-4201.853217*S192)+(-25291.41891*T192)</f>
        <v>707717.58171905309</v>
      </c>
      <c r="V192">
        <f>M192-U192</f>
        <v>7379.9882809468545</v>
      </c>
      <c r="W192">
        <f>V192^2</f>
        <v>54464227.026912905</v>
      </c>
    </row>
    <row r="193" spans="1:23">
      <c r="A193" t="s">
        <v>99</v>
      </c>
      <c r="B193" s="2">
        <v>45717</v>
      </c>
      <c r="C193" t="s">
        <v>24</v>
      </c>
      <c r="D193" t="s">
        <v>18</v>
      </c>
      <c r="E193">
        <v>54322.94</v>
      </c>
      <c r="F193">
        <v>5434</v>
      </c>
      <c r="G193">
        <v>0.2</v>
      </c>
      <c r="H193">
        <v>13</v>
      </c>
      <c r="I193">
        <v>85.7</v>
      </c>
      <c r="J193">
        <v>10.6</v>
      </c>
      <c r="K193">
        <v>0</v>
      </c>
      <c r="L193">
        <v>4.2</v>
      </c>
      <c r="M193">
        <v>621677.30000000005</v>
      </c>
      <c r="N193">
        <v>105192.52</v>
      </c>
      <c r="O193">
        <f>IF($D193="High Street",1,0)</f>
        <v>1</v>
      </c>
      <c r="P193">
        <f>IF($D193="Mall",1,0)</f>
        <v>0</v>
      </c>
      <c r="Q193">
        <f>IF($D193="Airport",1,0)</f>
        <v>0</v>
      </c>
      <c r="R193">
        <f>IF($C193="North",1,0)</f>
        <v>0</v>
      </c>
      <c r="S193">
        <f>IF($C193="South",1,0)</f>
        <v>1</v>
      </c>
      <c r="T193">
        <f>IF($C193="East",1,0)</f>
        <v>0</v>
      </c>
      <c r="U193">
        <f>66915.46892+(1.209928492*E193)+(27.33619482*F193)+(-41243.14883*G193)+(3508.399163*H193)+(3062.210286*I193)+(-3438.10791*J193)+(15157.28728*K193)+(12509.46131*L193)+(20219.25907*O193)+(32832.85351*P193)+(44695.0949*Q193)+(-15342.70531*R193)+(-4201.853217*S193)+(-25291.41891*T193)</f>
        <v>613092.40481928643</v>
      </c>
      <c r="V193">
        <f>M193-U193</f>
        <v>8584.8951807136182</v>
      </c>
      <c r="W193">
        <f>V193^2</f>
        <v>73700425.2638399</v>
      </c>
    </row>
    <row r="194" spans="1:23">
      <c r="A194" t="s">
        <v>46</v>
      </c>
      <c r="B194" s="2">
        <v>45748</v>
      </c>
      <c r="C194" t="s">
        <v>27</v>
      </c>
      <c r="D194" t="s">
        <v>28</v>
      </c>
      <c r="E194">
        <v>55101.1</v>
      </c>
      <c r="F194">
        <v>5281</v>
      </c>
      <c r="G194">
        <v>0.189</v>
      </c>
      <c r="H194">
        <v>11</v>
      </c>
      <c r="I194">
        <v>91</v>
      </c>
      <c r="J194">
        <v>2.7</v>
      </c>
      <c r="K194">
        <v>0</v>
      </c>
      <c r="L194">
        <v>4.4000000000000004</v>
      </c>
      <c r="M194">
        <v>675177.68</v>
      </c>
      <c r="N194">
        <v>105628.68</v>
      </c>
      <c r="O194">
        <f>IF($D194="High Street",1,0)</f>
        <v>0</v>
      </c>
      <c r="P194">
        <f>IF($D194="Mall",1,0)</f>
        <v>1</v>
      </c>
      <c r="Q194">
        <f>IF($D194="Airport",1,0)</f>
        <v>0</v>
      </c>
      <c r="R194">
        <f>IF($C194="North",1,0)</f>
        <v>0</v>
      </c>
      <c r="S194">
        <f>IF($C194="South",1,0)</f>
        <v>0</v>
      </c>
      <c r="T194">
        <f>IF($C194="East",1,0)</f>
        <v>0</v>
      </c>
      <c r="U194">
        <f>66915.46892+(1.209928492*E194)+(27.33619482*F194)+(-41243.14883*G194)+(3508.399163*H194)+(3062.210286*I194)+(-3438.10791*J194)+(15157.28728*K194)+(12509.46131*L194)+(20219.25907*O194)+(32832.85351*P194)+(44695.0949*Q194)+(-15342.70531*R194)+(-4201.853217*S194)+(-25291.41891*T194)</f>
        <v>665996.46820209129</v>
      </c>
      <c r="V194">
        <f>M194-U194</f>
        <v>9181.2117979087634</v>
      </c>
      <c r="W194">
        <f>V194^2</f>
        <v>84294650.078059062</v>
      </c>
    </row>
    <row r="195" spans="1:23">
      <c r="A195" t="s">
        <v>59</v>
      </c>
      <c r="B195" s="2">
        <v>45748</v>
      </c>
      <c r="C195" t="s">
        <v>24</v>
      </c>
      <c r="D195" t="s">
        <v>28</v>
      </c>
      <c r="E195">
        <v>71855.09</v>
      </c>
      <c r="F195">
        <v>5911</v>
      </c>
      <c r="G195">
        <v>0.19700000000000001</v>
      </c>
      <c r="H195">
        <v>15</v>
      </c>
      <c r="I195">
        <v>94.3</v>
      </c>
      <c r="J195">
        <v>3.55</v>
      </c>
      <c r="K195">
        <v>0</v>
      </c>
      <c r="L195">
        <v>4.0999999999999996</v>
      </c>
      <c r="M195">
        <v>725847.99</v>
      </c>
      <c r="N195">
        <v>122698.73</v>
      </c>
      <c r="O195">
        <f>IF($D195="High Street",1,0)</f>
        <v>0</v>
      </c>
      <c r="P195">
        <f>IF($D195="Mall",1,0)</f>
        <v>1</v>
      </c>
      <c r="Q195">
        <f>IF($D195="Airport",1,0)</f>
        <v>0</v>
      </c>
      <c r="R195">
        <f>IF($C195="North",1,0)</f>
        <v>0</v>
      </c>
      <c r="S195">
        <f>IF($C195="South",1,0)</f>
        <v>1</v>
      </c>
      <c r="T195">
        <f>IF($C195="East",1,0)</f>
        <v>0</v>
      </c>
      <c r="U195">
        <f>66915.46892+(1.209928492*E195)+(27.33619482*F195)+(-41243.14883*G195)+(3508.399163*H195)+(3062.210286*I195)+(-3438.10791*J195)+(15157.28728*K195)+(12509.46131*L195)+(20219.25907*O195)+(32832.85351*P195)+(44695.0949*Q195)+(-15342.70531*R195)+(-4201.853217*S195)+(-25291.41891*T195)</f>
        <v>716421.26286603429</v>
      </c>
      <c r="V195">
        <f>M195-U195</f>
        <v>9426.7271339657018</v>
      </c>
      <c r="W195">
        <f>V195^2</f>
        <v>88863184.458245218</v>
      </c>
    </row>
    <row r="196" spans="1:23">
      <c r="A196" t="s">
        <v>77</v>
      </c>
      <c r="B196" s="2">
        <v>45717</v>
      </c>
      <c r="C196" t="s">
        <v>15</v>
      </c>
      <c r="D196" t="s">
        <v>18</v>
      </c>
      <c r="E196">
        <v>66962.740000000005</v>
      </c>
      <c r="F196">
        <v>7880</v>
      </c>
      <c r="G196">
        <v>0.11600000000000001</v>
      </c>
      <c r="H196">
        <v>19</v>
      </c>
      <c r="I196">
        <v>90.4</v>
      </c>
      <c r="J196">
        <v>4.5</v>
      </c>
      <c r="K196">
        <v>0</v>
      </c>
      <c r="L196">
        <v>3.3</v>
      </c>
      <c r="M196">
        <v>732667.92</v>
      </c>
      <c r="N196">
        <v>128654.46</v>
      </c>
      <c r="O196">
        <f>IF($D196="High Street",1,0)</f>
        <v>1</v>
      </c>
      <c r="P196">
        <f>IF($D196="Mall",1,0)</f>
        <v>0</v>
      </c>
      <c r="Q196">
        <f>IF($D196="Airport",1,0)</f>
        <v>0</v>
      </c>
      <c r="R196">
        <f>IF($C196="North",1,0)</f>
        <v>0</v>
      </c>
      <c r="S196">
        <f>IF($C196="South",1,0)</f>
        <v>0</v>
      </c>
      <c r="T196">
        <f>IF($C196="East",1,0)</f>
        <v>1</v>
      </c>
      <c r="U196">
        <f>66915.46892+(1.209928492*E196)+(27.33619482*F196)+(-41243.14883*G196)+(3508.399163*H196)+(3062.210286*I196)+(-3438.10791*J196)+(15157.28728*K196)+(12509.46131*L196)+(20219.25907*O196)+(32832.85351*P196)+(44695.0949*Q196)+(-15342.70531*R196)+(-4201.853217*S196)+(-25291.41891*T196)</f>
        <v>722781.57670510805</v>
      </c>
      <c r="V196">
        <f>M196-U196</f>
        <v>9886.3432948919944</v>
      </c>
      <c r="W196">
        <f>V196^2</f>
        <v>97739783.744455904</v>
      </c>
    </row>
    <row r="197" spans="1:23">
      <c r="A197" t="s">
        <v>59</v>
      </c>
      <c r="B197" s="2">
        <v>45717</v>
      </c>
      <c r="C197" t="s">
        <v>24</v>
      </c>
      <c r="D197" t="s">
        <v>28</v>
      </c>
      <c r="E197">
        <v>47093.55</v>
      </c>
      <c r="F197">
        <v>5550</v>
      </c>
      <c r="G197">
        <v>0.1</v>
      </c>
      <c r="H197">
        <v>12</v>
      </c>
      <c r="I197">
        <v>95</v>
      </c>
      <c r="J197">
        <v>2.33</v>
      </c>
      <c r="K197">
        <v>1</v>
      </c>
      <c r="L197">
        <v>3.7</v>
      </c>
      <c r="M197">
        <v>696744.15</v>
      </c>
      <c r="N197">
        <v>152230.09</v>
      </c>
      <c r="O197">
        <f>IF($D197="High Street",1,0)</f>
        <v>0</v>
      </c>
      <c r="P197">
        <f>IF($D197="Mall",1,0)</f>
        <v>1</v>
      </c>
      <c r="Q197">
        <f>IF($D197="Airport",1,0)</f>
        <v>0</v>
      </c>
      <c r="R197">
        <f>IF($C197="North",1,0)</f>
        <v>0</v>
      </c>
      <c r="S197">
        <f>IF($C197="South",1,0)</f>
        <v>1</v>
      </c>
      <c r="T197">
        <f>IF($C197="East",1,0)</f>
        <v>0</v>
      </c>
      <c r="U197">
        <f>66915.46892+(1.209928492*E197)+(27.33619482*F197)+(-41243.14883*G197)+(3508.399163*H197)+(3062.210286*I197)+(-3438.10791*J197)+(15157.28728*K197)+(12509.46131*L197)+(20219.25907*O197)+(32832.85351*P197)+(44695.0949*Q197)+(-15342.70531*R197)+(-4201.853217*S197)+(-25291.41891*T197)</f>
        <v>686560.1333381267</v>
      </c>
      <c r="V197">
        <f>M197-U197</f>
        <v>10184.01666187332</v>
      </c>
      <c r="W197">
        <f>V197^2</f>
        <v>103714195.3693134</v>
      </c>
    </row>
    <row r="198" spans="1:23">
      <c r="A198" t="s">
        <v>63</v>
      </c>
      <c r="B198" s="2">
        <v>45748</v>
      </c>
      <c r="C198" t="s">
        <v>20</v>
      </c>
      <c r="D198" t="s">
        <v>28</v>
      </c>
      <c r="E198">
        <v>78432.14</v>
      </c>
      <c r="F198">
        <v>9440</v>
      </c>
      <c r="G198">
        <v>0.126</v>
      </c>
      <c r="H198">
        <v>23</v>
      </c>
      <c r="I198">
        <v>89.2</v>
      </c>
      <c r="J198">
        <v>7.86</v>
      </c>
      <c r="K198">
        <v>0</v>
      </c>
      <c r="L198">
        <v>4.0999999999999996</v>
      </c>
      <c r="M198">
        <v>820729.29</v>
      </c>
      <c r="N198">
        <v>159325.47</v>
      </c>
      <c r="O198">
        <f>IF($D198="High Street",1,0)</f>
        <v>0</v>
      </c>
      <c r="P198">
        <f>IF($D198="Mall",1,0)</f>
        <v>1</v>
      </c>
      <c r="Q198">
        <f>IF($D198="Airport",1,0)</f>
        <v>0</v>
      </c>
      <c r="R198">
        <f>IF($C198="North",1,0)</f>
        <v>1</v>
      </c>
      <c r="S198">
        <f>IF($C198="South",1,0)</f>
        <v>0</v>
      </c>
      <c r="T198">
        <f>IF($C198="East",1,0)</f>
        <v>0</v>
      </c>
      <c r="U198">
        <f>66915.46892+(1.209928492*E198)+(27.33619482*F198)+(-41243.14883*G198)+(3508.399163*H198)+(3062.210286*I198)+(-3438.10791*J198)+(15157.28728*K198)+(12509.46131*L198)+(20219.25907*O198)+(32832.85351*P198)+(44695.0949*Q198)+(-15342.70531*R198)+(-4201.853217*S198)+(-25291.41891*T198)</f>
        <v>810267.54180135299</v>
      </c>
      <c r="V198">
        <f>M198-U198</f>
        <v>10461.748198647052</v>
      </c>
      <c r="W198">
        <f>V198^2</f>
        <v>109448175.37189484</v>
      </c>
    </row>
    <row r="199" spans="1:23">
      <c r="A199" t="s">
        <v>65</v>
      </c>
      <c r="B199" s="2">
        <v>45748</v>
      </c>
      <c r="C199" t="s">
        <v>15</v>
      </c>
      <c r="D199" t="s">
        <v>16</v>
      </c>
      <c r="E199">
        <v>63043.94</v>
      </c>
      <c r="F199">
        <v>10402</v>
      </c>
      <c r="G199">
        <v>0.159</v>
      </c>
      <c r="H199">
        <v>23</v>
      </c>
      <c r="I199">
        <v>93.9</v>
      </c>
      <c r="J199">
        <v>2.71</v>
      </c>
      <c r="K199">
        <v>0</v>
      </c>
      <c r="L199">
        <v>3.1</v>
      </c>
      <c r="M199">
        <v>804264</v>
      </c>
      <c r="N199">
        <v>167117.91</v>
      </c>
      <c r="O199">
        <f>IF($D199="High Street",1,0)</f>
        <v>0</v>
      </c>
      <c r="P199">
        <f>IF($D199="Mall",1,0)</f>
        <v>0</v>
      </c>
      <c r="Q199">
        <f>IF($D199="Airport",1,0)</f>
        <v>0</v>
      </c>
      <c r="R199">
        <f>IF($C199="North",1,0)</f>
        <v>0</v>
      </c>
      <c r="S199">
        <f>IF($C199="South",1,0)</f>
        <v>0</v>
      </c>
      <c r="T199">
        <f>IF($C199="East",1,0)</f>
        <v>1</v>
      </c>
      <c r="U199">
        <f>66915.46892+(1.209928492*E199)+(27.33619482*F199)+(-41243.14883*G199)+(3508.399163*H199)+(3062.210286*I199)+(-3438.10791*J199)+(15157.28728*K199)+(12509.46131*L199)+(20219.25907*O199)+(32832.85351*P199)+(44695.0949*Q199)+(-15342.70531*R199)+(-4201.853217*S199)+(-25291.41891*T199)</f>
        <v>793392.93134690833</v>
      </c>
      <c r="V199">
        <f>M199-U199</f>
        <v>10871.068653091672</v>
      </c>
      <c r="W199">
        <f>V199^2</f>
        <v>118180133.66023238</v>
      </c>
    </row>
    <row r="200" spans="1:23">
      <c r="A200" t="s">
        <v>77</v>
      </c>
      <c r="B200" s="2">
        <v>45658</v>
      </c>
      <c r="C200" t="s">
        <v>15</v>
      </c>
      <c r="D200" t="s">
        <v>18</v>
      </c>
      <c r="E200">
        <v>53367.73</v>
      </c>
      <c r="F200">
        <v>7291</v>
      </c>
      <c r="G200">
        <v>0.14599999999999999</v>
      </c>
      <c r="H200">
        <v>18</v>
      </c>
      <c r="I200">
        <v>90.6</v>
      </c>
      <c r="J200">
        <v>6.34</v>
      </c>
      <c r="K200">
        <v>1</v>
      </c>
      <c r="L200">
        <v>3.8</v>
      </c>
      <c r="M200">
        <v>712219.81</v>
      </c>
      <c r="N200">
        <v>85906.54</v>
      </c>
      <c r="O200">
        <f>IF($D200="High Street",1,0)</f>
        <v>1</v>
      </c>
      <c r="P200">
        <f>IF($D200="Mall",1,0)</f>
        <v>0</v>
      </c>
      <c r="Q200">
        <f>IF($D200="Airport",1,0)</f>
        <v>0</v>
      </c>
      <c r="R200">
        <f>IF($C200="North",1,0)</f>
        <v>0</v>
      </c>
      <c r="S200">
        <f>IF($C200="South",1,0)</f>
        <v>0</v>
      </c>
      <c r="T200">
        <f>IF($C200="East",1,0)</f>
        <v>1</v>
      </c>
      <c r="U200">
        <f>66915.46892+(1.209928492*E200)+(27.33619482*F200)+(-41243.14883*G200)+(3508.399163*H200)+(3062.210286*I200)+(-3438.10791*J200)+(15157.28728*K200)+(12509.46131*L200)+(20219.25907*O200)+(32832.85351*P200)+(44695.0949*Q200)+(-15342.70531*R200)+(-4201.853217*S200)+(-25291.41891*T200)</f>
        <v>701184.21581800329</v>
      </c>
      <c r="V200">
        <f>M200-U200</f>
        <v>11035.59418199677</v>
      </c>
      <c r="W200">
        <f>V200^2</f>
        <v>121784338.94972096</v>
      </c>
    </row>
    <row r="201" spans="1:23">
      <c r="A201" t="s">
        <v>32</v>
      </c>
      <c r="B201" s="2">
        <v>45658</v>
      </c>
      <c r="C201" t="s">
        <v>15</v>
      </c>
      <c r="D201" t="s">
        <v>28</v>
      </c>
      <c r="E201">
        <v>40462.94</v>
      </c>
      <c r="F201">
        <v>3660</v>
      </c>
      <c r="G201">
        <v>0.218</v>
      </c>
      <c r="H201">
        <v>11</v>
      </c>
      <c r="I201">
        <v>95.2</v>
      </c>
      <c r="J201">
        <v>5.57</v>
      </c>
      <c r="K201">
        <v>0</v>
      </c>
      <c r="L201">
        <v>4.4000000000000004</v>
      </c>
      <c r="M201">
        <v>592195.85</v>
      </c>
      <c r="N201">
        <v>92291.56</v>
      </c>
      <c r="O201">
        <f>IF($D201="High Street",1,0)</f>
        <v>0</v>
      </c>
      <c r="P201">
        <f>IF($D201="Mall",1,0)</f>
        <v>1</v>
      </c>
      <c r="Q201">
        <f>IF($D201="Airport",1,0)</f>
        <v>0</v>
      </c>
      <c r="R201">
        <f>IF($C201="North",1,0)</f>
        <v>0</v>
      </c>
      <c r="S201">
        <f>IF($C201="South",1,0)</f>
        <v>0</v>
      </c>
      <c r="T201">
        <f>IF($C201="East",1,0)</f>
        <v>1</v>
      </c>
      <c r="U201">
        <f>66915.46892+(1.209928492*E201)+(27.33619482*F201)+(-41243.14883*G201)+(3508.399163*H201)+(3062.210286*I201)+(-3438.10791*J201)+(15157.28728*K201)+(12509.46131*L201)+(20219.25907*O201)+(32832.85351*P201)+(44695.0949*Q201)+(-15342.70531*R201)+(-4201.853217*S201)+(-25291.41891*T201)</f>
        <v>580479.81281784654</v>
      </c>
      <c r="V201">
        <f>M201-U201</f>
        <v>11716.037182153435</v>
      </c>
      <c r="W201">
        <f>V201^2</f>
        <v>137265527.25360182</v>
      </c>
    </row>
    <row r="202" spans="1:23">
      <c r="A202" t="s">
        <v>85</v>
      </c>
      <c r="B202" s="2">
        <v>45717</v>
      </c>
      <c r="C202" t="s">
        <v>24</v>
      </c>
      <c r="D202" t="s">
        <v>21</v>
      </c>
      <c r="E202">
        <v>75412.740000000005</v>
      </c>
      <c r="F202">
        <v>5641</v>
      </c>
      <c r="G202">
        <v>5.8999999999999997E-2</v>
      </c>
      <c r="H202">
        <v>13</v>
      </c>
      <c r="I202">
        <v>87.9</v>
      </c>
      <c r="J202">
        <v>0.84</v>
      </c>
      <c r="K202">
        <v>0</v>
      </c>
      <c r="L202">
        <v>3.6</v>
      </c>
      <c r="M202">
        <v>720079.54</v>
      </c>
      <c r="N202">
        <v>119499.47</v>
      </c>
      <c r="O202">
        <f>IF($D202="High Street",1,0)</f>
        <v>0</v>
      </c>
      <c r="P202">
        <f>IF($D202="Mall",1,0)</f>
        <v>0</v>
      </c>
      <c r="Q202">
        <f>IF($D202="Airport",1,0)</f>
        <v>1</v>
      </c>
      <c r="R202">
        <f>IF($C202="North",1,0)</f>
        <v>0</v>
      </c>
      <c r="S202">
        <f>IF($C202="South",1,0)</f>
        <v>1</v>
      </c>
      <c r="T202">
        <f>IF($C202="East",1,0)</f>
        <v>0</v>
      </c>
      <c r="U202">
        <f>66915.46892+(1.209928492*E202)+(27.33619482*F202)+(-41243.14883*G202)+(3508.399163*H202)+(3062.210286*I202)+(-3438.10791*J202)+(15157.28728*K202)+(12509.46131*L202)+(20219.25907*O202)+(32832.85351*P202)+(44695.0949*Q202)+(-15342.70531*R202)+(-4201.853217*S202)+(-25291.41891*T202)</f>
        <v>707346.38591743808</v>
      </c>
      <c r="V202">
        <f>M202-U202</f>
        <v>12733.15408256196</v>
      </c>
      <c r="W202">
        <f>V202^2</f>
        <v>162133212.8902643</v>
      </c>
    </row>
    <row r="203" spans="1:23">
      <c r="A203" t="s">
        <v>58</v>
      </c>
      <c r="B203" s="2">
        <v>45717</v>
      </c>
      <c r="C203" t="s">
        <v>20</v>
      </c>
      <c r="D203" t="s">
        <v>16</v>
      </c>
      <c r="E203">
        <v>53351.7</v>
      </c>
      <c r="F203">
        <v>4259</v>
      </c>
      <c r="G203">
        <v>0.156</v>
      </c>
      <c r="H203">
        <v>15</v>
      </c>
      <c r="I203">
        <v>93.7</v>
      </c>
      <c r="J203">
        <v>6.03</v>
      </c>
      <c r="K203">
        <v>0</v>
      </c>
      <c r="L203">
        <v>3.4</v>
      </c>
      <c r="M203">
        <v>601568.87</v>
      </c>
      <c r="N203">
        <v>91634.82</v>
      </c>
      <c r="O203">
        <f>IF($D203="High Street",1,0)</f>
        <v>0</v>
      </c>
      <c r="P203">
        <f>IF($D203="Mall",1,0)</f>
        <v>0</v>
      </c>
      <c r="Q203">
        <f>IF($D203="Airport",1,0)</f>
        <v>0</v>
      </c>
      <c r="R203">
        <f>IF($C203="North",1,0)</f>
        <v>1</v>
      </c>
      <c r="S203">
        <f>IF($C203="South",1,0)</f>
        <v>0</v>
      </c>
      <c r="T203">
        <f>IF($C203="East",1,0)</f>
        <v>0</v>
      </c>
      <c r="U203">
        <f>66915.46892+(1.209928492*E203)+(27.33619482*F203)+(-41243.14883*G203)+(3508.399163*H203)+(3062.210286*I203)+(-3438.10791*J203)+(15157.28728*K203)+(12509.46131*L203)+(20219.25907*O203)+(32832.85351*P203)+(44695.0949*Q203)+(-15342.70531*R203)+(-4201.853217*S203)+(-25291.41891*T203)</f>
        <v>587470.89705743641</v>
      </c>
      <c r="V203">
        <f>M203-U203</f>
        <v>14097.972942563589</v>
      </c>
      <c r="W203">
        <f>V203^2</f>
        <v>198752841.08925506</v>
      </c>
    </row>
    <row r="204" spans="1:23">
      <c r="A204" t="s">
        <v>44</v>
      </c>
      <c r="B204" s="2">
        <v>45658</v>
      </c>
      <c r="C204" t="s">
        <v>24</v>
      </c>
      <c r="D204" t="s">
        <v>28</v>
      </c>
      <c r="E204">
        <v>50517.94</v>
      </c>
      <c r="F204">
        <v>7024</v>
      </c>
      <c r="G204">
        <v>2.9000000000000001E-2</v>
      </c>
      <c r="H204">
        <v>18</v>
      </c>
      <c r="I204">
        <v>79.2</v>
      </c>
      <c r="J204">
        <v>6.61</v>
      </c>
      <c r="K204">
        <v>1</v>
      </c>
      <c r="L204">
        <v>4.0999999999999996</v>
      </c>
      <c r="M204">
        <v>711213.46</v>
      </c>
      <c r="N204">
        <v>105863.26</v>
      </c>
      <c r="O204">
        <f>IF($D204="High Street",1,0)</f>
        <v>0</v>
      </c>
      <c r="P204">
        <f>IF($D204="Mall",1,0)</f>
        <v>1</v>
      </c>
      <c r="Q204">
        <f>IF($D204="Airport",1,0)</f>
        <v>0</v>
      </c>
      <c r="R204">
        <f>IF($C204="North",1,0)</f>
        <v>0</v>
      </c>
      <c r="S204">
        <f>IF($C204="South",1,0)</f>
        <v>1</v>
      </c>
      <c r="T204">
        <f>IF($C204="East",1,0)</f>
        <v>0</v>
      </c>
      <c r="U204">
        <f>66915.46892+(1.209928492*E204)+(27.33619482*F204)+(-41243.14883*G204)+(3508.399163*H204)+(3062.210286*I204)+(-3438.10791*J204)+(15157.28728*K204)+(12509.46131*L204)+(20219.25907*O204)+(32832.85351*P204)+(44695.0949*Q204)+(-15342.70531*R204)+(-4201.853217*S204)+(-25291.41891*T204)</f>
        <v>696881.37022685655</v>
      </c>
      <c r="V204">
        <f>M204-U204</f>
        <v>14332.089773143409</v>
      </c>
      <c r="W204">
        <f>V204^2</f>
        <v>205408797.26544189</v>
      </c>
    </row>
    <row r="205" spans="1:23">
      <c r="A205" t="s">
        <v>47</v>
      </c>
      <c r="B205" s="2">
        <v>45717</v>
      </c>
      <c r="C205" t="s">
        <v>15</v>
      </c>
      <c r="D205" t="s">
        <v>28</v>
      </c>
      <c r="E205">
        <v>90084.4</v>
      </c>
      <c r="F205">
        <v>6832</v>
      </c>
      <c r="G205">
        <v>0.185</v>
      </c>
      <c r="H205">
        <v>14</v>
      </c>
      <c r="I205">
        <v>80.5</v>
      </c>
      <c r="J205">
        <v>0.77</v>
      </c>
      <c r="K205">
        <v>1</v>
      </c>
      <c r="L205">
        <v>4.4000000000000004</v>
      </c>
      <c r="M205">
        <v>740102.64</v>
      </c>
      <c r="N205">
        <v>114299.07</v>
      </c>
      <c r="O205">
        <f>IF($D205="High Street",1,0)</f>
        <v>0</v>
      </c>
      <c r="P205">
        <f>IF($D205="Mall",1,0)</f>
        <v>1</v>
      </c>
      <c r="Q205">
        <f>IF($D205="Airport",1,0)</f>
        <v>0</v>
      </c>
      <c r="R205">
        <f>IF($C205="North",1,0)</f>
        <v>0</v>
      </c>
      <c r="S205">
        <f>IF($C205="South",1,0)</f>
        <v>0</v>
      </c>
      <c r="T205">
        <f>IF($C205="East",1,0)</f>
        <v>1</v>
      </c>
      <c r="U205">
        <f>66915.46892+(1.209928492*E205)+(27.33619482*F205)+(-41243.14883*G205)+(3508.399163*H205)+(3062.210286*I205)+(-3438.10791*J205)+(15157.28728*K205)+(12509.46131*L205)+(20219.25907*O205)+(32832.85351*P205)+(44695.0949*Q205)+(-15342.70531*R205)+(-4201.853217*S205)+(-25291.41891*T205)</f>
        <v>725760.57649971475</v>
      </c>
      <c r="V205">
        <f>M205-U205</f>
        <v>14342.063500285265</v>
      </c>
      <c r="W205">
        <f>V205^2</f>
        <v>205694785.44621482</v>
      </c>
    </row>
    <row r="206" spans="1:23">
      <c r="A206" t="s">
        <v>82</v>
      </c>
      <c r="B206" s="2">
        <v>45689</v>
      </c>
      <c r="C206" t="s">
        <v>24</v>
      </c>
      <c r="D206" t="s">
        <v>21</v>
      </c>
      <c r="E206">
        <v>51781.599999999999</v>
      </c>
      <c r="F206">
        <v>5648</v>
      </c>
      <c r="G206">
        <v>5.8999999999999997E-2</v>
      </c>
      <c r="H206">
        <v>13</v>
      </c>
      <c r="I206">
        <v>85.5</v>
      </c>
      <c r="J206">
        <v>4.04</v>
      </c>
      <c r="K206">
        <v>0</v>
      </c>
      <c r="L206">
        <v>3.7</v>
      </c>
      <c r="M206">
        <v>676337.41</v>
      </c>
      <c r="N206">
        <v>104355.77</v>
      </c>
      <c r="O206">
        <f>IF($D206="High Street",1,0)</f>
        <v>0</v>
      </c>
      <c r="P206">
        <f>IF($D206="Mall",1,0)</f>
        <v>0</v>
      </c>
      <c r="Q206">
        <f>IF($D206="Airport",1,0)</f>
        <v>1</v>
      </c>
      <c r="R206">
        <f>IF($C206="North",1,0)</f>
        <v>0</v>
      </c>
      <c r="S206">
        <f>IF($C206="South",1,0)</f>
        <v>1</v>
      </c>
      <c r="T206">
        <f>IF($C206="East",1,0)</f>
        <v>0</v>
      </c>
      <c r="U206">
        <f>66915.46892+(1.209928492*E206)+(27.33619482*F206)+(-41243.14883*G206)+(3508.399163*H206)+(3062.210286*I206)+(-3438.10791*J206)+(15157.28728*K206)+(12509.46131*L206)+(20219.25907*O206)+(32832.85351*P206)+(44695.0949*Q206)+(-15342.70531*R206)+(-4201.853217*S206)+(-25291.41891*T206)</f>
        <v>661845.44582933711</v>
      </c>
      <c r="V206">
        <f>M206-U206</f>
        <v>14491.964170662919</v>
      </c>
      <c r="W206">
        <f>V206^2</f>
        <v>210017025.52377778</v>
      </c>
    </row>
    <row r="207" spans="1:23">
      <c r="A207" t="s">
        <v>90</v>
      </c>
      <c r="B207" s="2">
        <v>45689</v>
      </c>
      <c r="C207" t="s">
        <v>27</v>
      </c>
      <c r="D207" t="s">
        <v>18</v>
      </c>
      <c r="E207">
        <v>17562.57</v>
      </c>
      <c r="F207">
        <v>3326</v>
      </c>
      <c r="G207">
        <v>0.153</v>
      </c>
      <c r="H207">
        <v>14</v>
      </c>
      <c r="I207">
        <v>88.1</v>
      </c>
      <c r="J207">
        <v>1.04</v>
      </c>
      <c r="K207">
        <v>0</v>
      </c>
      <c r="L207">
        <v>3.1</v>
      </c>
      <c r="M207">
        <v>561597.32999999996</v>
      </c>
      <c r="N207">
        <v>75072.75</v>
      </c>
      <c r="O207">
        <f>IF($D207="High Street",1,0)</f>
        <v>1</v>
      </c>
      <c r="P207">
        <f>IF($D207="Mall",1,0)</f>
        <v>0</v>
      </c>
      <c r="Q207">
        <f>IF($D207="Airport",1,0)</f>
        <v>0</v>
      </c>
      <c r="R207">
        <f>IF($C207="North",1,0)</f>
        <v>0</v>
      </c>
      <c r="S207">
        <f>IF($C207="South",1,0)</f>
        <v>0</v>
      </c>
      <c r="T207">
        <f>IF($C207="East",1,0)</f>
        <v>0</v>
      </c>
      <c r="U207">
        <f>66915.46892+(1.209928492*E207)+(27.33619482*F207)+(-41243.14883*G207)+(3508.399163*H207)+(3062.210286*I207)+(-3438.10791*J207)+(15157.28728*K207)+(12509.46131*L207)+(20219.25907*O207)+(32832.85351*P207)+(44695.0949*Q207)+(-15342.70531*R207)+(-4201.853217*S207)+(-25291.41891*T207)</f>
        <v>547096.17633927439</v>
      </c>
      <c r="V207">
        <f>M207-U207</f>
        <v>14501.153660725569</v>
      </c>
      <c r="W207">
        <f>V207^2</f>
        <v>210283457.49197459</v>
      </c>
    </row>
    <row r="208" spans="1:23">
      <c r="A208" t="s">
        <v>81</v>
      </c>
      <c r="B208" s="2">
        <v>45689</v>
      </c>
      <c r="C208" t="s">
        <v>27</v>
      </c>
      <c r="D208" t="s">
        <v>28</v>
      </c>
      <c r="E208">
        <v>72961.95</v>
      </c>
      <c r="F208">
        <v>9996</v>
      </c>
      <c r="G208">
        <v>0.106</v>
      </c>
      <c r="H208">
        <v>22</v>
      </c>
      <c r="I208">
        <v>89.1</v>
      </c>
      <c r="J208">
        <v>15.66</v>
      </c>
      <c r="K208">
        <v>0</v>
      </c>
      <c r="L208">
        <v>3.4</v>
      </c>
      <c r="M208">
        <v>810355.02</v>
      </c>
      <c r="N208">
        <v>131510</v>
      </c>
      <c r="O208">
        <f>IF($D208="High Street",1,0)</f>
        <v>0</v>
      </c>
      <c r="P208">
        <f>IF($D208="Mall",1,0)</f>
        <v>1</v>
      </c>
      <c r="Q208">
        <f>IF($D208="Airport",1,0)</f>
        <v>0</v>
      </c>
      <c r="R208">
        <f>IF($C208="North",1,0)</f>
        <v>0</v>
      </c>
      <c r="S208">
        <f>IF($C208="South",1,0)</f>
        <v>0</v>
      </c>
      <c r="T208">
        <f>IF($C208="East",1,0)</f>
        <v>0</v>
      </c>
      <c r="U208">
        <f>66915.46892+(1.209928492*E208)+(27.33619482*F208)+(-41243.14883*G208)+(3508.399163*H208)+(3062.210286*I208)+(-3438.10791*J208)+(15157.28728*K208)+(12509.46131*L208)+(20219.25907*O208)+(32832.85351*P208)+(44695.0949*Q208)+(-15342.70531*R208)+(-4201.853217*S208)+(-25291.41891*T208)</f>
        <v>795627.01086361939</v>
      </c>
      <c r="V208">
        <f>M208-U208</f>
        <v>14728.009136380628</v>
      </c>
      <c r="W208">
        <f>V208^2</f>
        <v>216914253.12131125</v>
      </c>
    </row>
    <row r="209" spans="1:23">
      <c r="A209" t="s">
        <v>46</v>
      </c>
      <c r="B209" s="2">
        <v>45658</v>
      </c>
      <c r="C209" t="s">
        <v>27</v>
      </c>
      <c r="D209" t="s">
        <v>28</v>
      </c>
      <c r="E209">
        <v>61132.07</v>
      </c>
      <c r="F209">
        <v>6394</v>
      </c>
      <c r="G209">
        <v>0.16300000000000001</v>
      </c>
      <c r="H209">
        <v>19</v>
      </c>
      <c r="I209">
        <v>91</v>
      </c>
      <c r="J209">
        <v>19.600000000000001</v>
      </c>
      <c r="K209">
        <v>0</v>
      </c>
      <c r="L209">
        <v>4.4000000000000004</v>
      </c>
      <c r="M209">
        <v>691113.62</v>
      </c>
      <c r="N209">
        <v>135145.44</v>
      </c>
      <c r="O209">
        <f>IF($D209="High Street",1,0)</f>
        <v>0</v>
      </c>
      <c r="P209">
        <f>IF($D209="Mall",1,0)</f>
        <v>1</v>
      </c>
      <c r="Q209">
        <f>IF($D209="Airport",1,0)</f>
        <v>0</v>
      </c>
      <c r="R209">
        <f>IF($C209="North",1,0)</f>
        <v>0</v>
      </c>
      <c r="S209">
        <f>IF($C209="South",1,0)</f>
        <v>0</v>
      </c>
      <c r="T209">
        <f>IF($C209="East",1,0)</f>
        <v>0</v>
      </c>
      <c r="U209">
        <f>66915.46892+(1.209928492*E209)+(27.33619482*F209)+(-41243.14883*G209)+(3508.399163*H209)+(3062.210286*I209)+(-3438.10791*J209)+(15157.28728*K209)+(12509.46131*L209)+(20219.25907*O209)+(32832.85351*P209)+(44695.0949*Q209)+(-15342.70531*R209)+(-4201.853217*S209)+(-25291.41891*T209)</f>
        <v>674754.18696872855</v>
      </c>
      <c r="V209">
        <f>M209-U209</f>
        <v>16359.433031271445</v>
      </c>
      <c r="W209">
        <f>V209^2</f>
        <v>267631049.10465521</v>
      </c>
    </row>
    <row r="210" spans="1:23">
      <c r="A210" t="s">
        <v>101</v>
      </c>
      <c r="B210" s="2">
        <v>45689</v>
      </c>
      <c r="C210" t="s">
        <v>15</v>
      </c>
      <c r="D210" t="s">
        <v>16</v>
      </c>
      <c r="E210">
        <v>24088.06</v>
      </c>
      <c r="F210">
        <v>3466</v>
      </c>
      <c r="G210">
        <v>0</v>
      </c>
      <c r="H210">
        <v>11</v>
      </c>
      <c r="I210">
        <v>88</v>
      </c>
      <c r="J210">
        <v>0.2</v>
      </c>
      <c r="K210">
        <v>0</v>
      </c>
      <c r="L210">
        <v>3.8</v>
      </c>
      <c r="M210">
        <v>536845.42000000004</v>
      </c>
      <c r="N210">
        <v>107473.75</v>
      </c>
      <c r="O210">
        <f>IF($D210="High Street",1,0)</f>
        <v>0</v>
      </c>
      <c r="P210">
        <f>IF($D210="Mall",1,0)</f>
        <v>0</v>
      </c>
      <c r="Q210">
        <f>IF($D210="Airport",1,0)</f>
        <v>0</v>
      </c>
      <c r="R210">
        <f>IF($C210="North",1,0)</f>
        <v>0</v>
      </c>
      <c r="S210">
        <f>IF($C210="South",1,0)</f>
        <v>0</v>
      </c>
      <c r="T210">
        <f>IF($C210="East",1,0)</f>
        <v>1</v>
      </c>
      <c r="U210">
        <f>66915.46892+(1.209928492*E210)+(27.33619482*F210)+(-41243.14883*G210)+(3508.399163*H210)+(3062.210286*I210)+(-3438.10791*J210)+(15157.28728*K210)+(12509.46131*L210)+(20219.25907*O210)+(32832.85351*P210)+(44695.0949*Q210)+(-15342.70531*R210)+(-4201.853217*S210)+(-25291.41891*T210)</f>
        <v>520431.35872412554</v>
      </c>
      <c r="V210">
        <f>M210-U210</f>
        <v>16414.061275874497</v>
      </c>
      <c r="W210">
        <f>V210^2</f>
        <v>269421407.56816274</v>
      </c>
    </row>
    <row r="211" spans="1:23">
      <c r="A211" t="s">
        <v>91</v>
      </c>
      <c r="B211" s="2">
        <v>45717</v>
      </c>
      <c r="C211" t="s">
        <v>24</v>
      </c>
      <c r="D211" t="s">
        <v>16</v>
      </c>
      <c r="E211">
        <v>48609.41</v>
      </c>
      <c r="F211">
        <v>9324</v>
      </c>
      <c r="G211">
        <v>0.21299999999999999</v>
      </c>
      <c r="H211">
        <v>18</v>
      </c>
      <c r="I211">
        <v>86.5</v>
      </c>
      <c r="J211">
        <v>1.44</v>
      </c>
      <c r="K211">
        <v>0</v>
      </c>
      <c r="L211">
        <v>3.9</v>
      </c>
      <c r="M211">
        <v>756619.77</v>
      </c>
      <c r="N211">
        <v>112057.69</v>
      </c>
      <c r="O211">
        <f>IF($D211="High Street",1,0)</f>
        <v>0</v>
      </c>
      <c r="P211">
        <f>IF($D211="Mall",1,0)</f>
        <v>0</v>
      </c>
      <c r="Q211">
        <f>IF($D211="Airport",1,0)</f>
        <v>0</v>
      </c>
      <c r="R211">
        <f>IF($C211="North",1,0)</f>
        <v>0</v>
      </c>
      <c r="S211">
        <f>IF($C211="South",1,0)</f>
        <v>1</v>
      </c>
      <c r="T211">
        <f>IF($C211="East",1,0)</f>
        <v>0</v>
      </c>
      <c r="U211">
        <f>66915.46892+(1.209928492*E211)+(27.33619482*F211)+(-41243.14883*G211)+(3508.399163*H211)+(3062.210286*I211)+(-3438.10791*J211)+(15157.28728*K211)+(12509.46131*L211)+(20219.25907*O211)+(32832.85351*P211)+(44695.0949*Q211)+(-15342.70531*R211)+(-4201.853217*S211)+(-25291.41891*T211)</f>
        <v>739493.8140337998</v>
      </c>
      <c r="V211">
        <f>M211-U211</f>
        <v>17125.955966200214</v>
      </c>
      <c r="W211">
        <f>V211^2</f>
        <v>293298367.75622869</v>
      </c>
    </row>
    <row r="212" spans="1:23">
      <c r="A212" t="s">
        <v>78</v>
      </c>
      <c r="B212" s="2">
        <v>45689</v>
      </c>
      <c r="C212" t="s">
        <v>15</v>
      </c>
      <c r="D212" t="s">
        <v>28</v>
      </c>
      <c r="E212">
        <v>57225.98</v>
      </c>
      <c r="F212">
        <v>2842</v>
      </c>
      <c r="G212">
        <v>0.112</v>
      </c>
      <c r="H212">
        <v>10</v>
      </c>
      <c r="I212">
        <v>79.5</v>
      </c>
      <c r="J212">
        <v>5.45</v>
      </c>
      <c r="K212">
        <v>0</v>
      </c>
      <c r="L212">
        <v>3.4</v>
      </c>
      <c r="M212">
        <v>536545.49</v>
      </c>
      <c r="N212">
        <v>97917.45</v>
      </c>
      <c r="O212">
        <f>IF($D212="High Street",1,0)</f>
        <v>0</v>
      </c>
      <c r="P212">
        <f>IF($D212="Mall",1,0)</f>
        <v>1</v>
      </c>
      <c r="Q212">
        <f>IF($D212="Airport",1,0)</f>
        <v>0</v>
      </c>
      <c r="R212">
        <f>IF($C212="North",1,0)</f>
        <v>0</v>
      </c>
      <c r="S212">
        <f>IF($C212="South",1,0)</f>
        <v>0</v>
      </c>
      <c r="T212">
        <f>IF($C212="East",1,0)</f>
        <v>1</v>
      </c>
      <c r="U212">
        <f>66915.46892+(1.209928492*E212)+(27.33619482*F212)+(-41243.14883*G212)+(3508.399163*H212)+(3062.210286*I212)+(-3438.10791*J212)+(15157.28728*K212)+(12509.46131*L212)+(20219.25907*O212)+(32832.85351*P212)+(44695.0949*Q212)+(-15342.70531*R212)+(-4201.853217*S212)+(-25291.41891*T212)</f>
        <v>519090.66992560227</v>
      </c>
      <c r="V212">
        <f>M212-U212</f>
        <v>17454.820074397721</v>
      </c>
      <c r="W212">
        <f>V212^2</f>
        <v>304670743.82959765</v>
      </c>
    </row>
    <row r="213" spans="1:23">
      <c r="A213" t="s">
        <v>58</v>
      </c>
      <c r="B213" s="2">
        <v>45748</v>
      </c>
      <c r="C213" t="s">
        <v>20</v>
      </c>
      <c r="D213" t="s">
        <v>16</v>
      </c>
      <c r="E213">
        <v>60322.400000000001</v>
      </c>
      <c r="F213">
        <v>3350</v>
      </c>
      <c r="G213">
        <v>0.108</v>
      </c>
      <c r="H213">
        <v>12</v>
      </c>
      <c r="I213">
        <v>89.4</v>
      </c>
      <c r="J213">
        <v>4.92</v>
      </c>
      <c r="K213">
        <v>0</v>
      </c>
      <c r="L213">
        <v>3.4</v>
      </c>
      <c r="M213">
        <v>570964.84</v>
      </c>
      <c r="N213">
        <v>81331.070000000007</v>
      </c>
      <c r="O213">
        <f>IF($D213="High Street",1,0)</f>
        <v>0</v>
      </c>
      <c r="P213">
        <f>IF($D213="Mall",1,0)</f>
        <v>0</v>
      </c>
      <c r="Q213">
        <f>IF($D213="Airport",1,0)</f>
        <v>0</v>
      </c>
      <c r="R213">
        <f>IF($C213="North",1,0)</f>
        <v>1</v>
      </c>
      <c r="S213">
        <f>IF($C213="South",1,0)</f>
        <v>0</v>
      </c>
      <c r="T213">
        <f>IF($C213="East",1,0)</f>
        <v>0</v>
      </c>
      <c r="U213">
        <f>66915.46892+(1.209928492*E213)+(27.33619482*F213)+(-41243.14883*G213)+(3508.399163*H213)+(3062.210286*I213)+(-3438.10791*J213)+(15157.28728*K213)+(12509.46131*L213)+(20219.25907*O213)+(32832.85351*P213)+(44695.0949*Q213)+(-15342.70531*R213)+(-4201.853217*S213)+(-25291.41891*T213)</f>
        <v>553159.61371038086</v>
      </c>
      <c r="V213">
        <f>M213-U213</f>
        <v>17805.22628961911</v>
      </c>
      <c r="W213">
        <f>V213^2</f>
        <v>317026083.22454351</v>
      </c>
    </row>
    <row r="214" spans="1:23">
      <c r="A214" t="s">
        <v>78</v>
      </c>
      <c r="B214" s="2">
        <v>45717</v>
      </c>
      <c r="C214" t="s">
        <v>15</v>
      </c>
      <c r="D214" t="s">
        <v>28</v>
      </c>
      <c r="E214">
        <v>42932.02</v>
      </c>
      <c r="F214">
        <v>3872</v>
      </c>
      <c r="G214">
        <v>0.17100000000000001</v>
      </c>
      <c r="H214">
        <v>12</v>
      </c>
      <c r="I214">
        <v>83.2</v>
      </c>
      <c r="J214">
        <v>15.58</v>
      </c>
      <c r="K214">
        <v>0</v>
      </c>
      <c r="L214">
        <v>3.3</v>
      </c>
      <c r="M214">
        <v>527681.56000000006</v>
      </c>
      <c r="N214">
        <v>63153.05</v>
      </c>
      <c r="O214">
        <f>IF($D214="High Street",1,0)</f>
        <v>0</v>
      </c>
      <c r="P214">
        <f>IF($D214="Mall",1,0)</f>
        <v>1</v>
      </c>
      <c r="Q214">
        <f>IF($D214="Airport",1,0)</f>
        <v>0</v>
      </c>
      <c r="R214">
        <f>IF($C214="North",1,0)</f>
        <v>0</v>
      </c>
      <c r="S214">
        <f>IF($C214="South",1,0)</f>
        <v>0</v>
      </c>
      <c r="T214">
        <f>IF($C214="East",1,0)</f>
        <v>1</v>
      </c>
      <c r="U214">
        <f>66915.46892+(1.209928492*E214)+(27.33619482*F214)+(-41243.14883*G214)+(3508.399163*H214)+(3062.210286*I214)+(-3438.10791*J214)+(15157.28728*K214)+(12509.46131*L214)+(20219.25907*O214)+(32832.85351*P214)+(44695.0949*Q214)+(-15342.70531*R214)+(-4201.853217*S214)+(-25291.41891*T214)</f>
        <v>509786.93246662384</v>
      </c>
      <c r="V214">
        <f>M214-U214</f>
        <v>17894.627533376217</v>
      </c>
      <c r="W214">
        <f>V214^2</f>
        <v>320217694.55826616</v>
      </c>
    </row>
    <row r="215" spans="1:23">
      <c r="A215" t="s">
        <v>43</v>
      </c>
      <c r="B215" s="2">
        <v>45658</v>
      </c>
      <c r="C215" t="s">
        <v>27</v>
      </c>
      <c r="D215" t="s">
        <v>18</v>
      </c>
      <c r="E215">
        <v>55388.11</v>
      </c>
      <c r="F215">
        <v>3091</v>
      </c>
      <c r="G215">
        <v>0.108</v>
      </c>
      <c r="H215">
        <v>7</v>
      </c>
      <c r="I215">
        <v>85.4</v>
      </c>
      <c r="J215">
        <v>7.34</v>
      </c>
      <c r="K215">
        <v>0</v>
      </c>
      <c r="L215">
        <v>4.9000000000000004</v>
      </c>
      <c r="M215">
        <v>574436.29</v>
      </c>
      <c r="N215">
        <v>80271.990000000005</v>
      </c>
      <c r="O215">
        <f>IF($D215="High Street",1,0)</f>
        <v>1</v>
      </c>
      <c r="P215">
        <f>IF($D215="Mall",1,0)</f>
        <v>0</v>
      </c>
      <c r="Q215">
        <f>IF($D215="Airport",1,0)</f>
        <v>0</v>
      </c>
      <c r="R215">
        <f>IF($C215="North",1,0)</f>
        <v>0</v>
      </c>
      <c r="S215">
        <f>IF($C215="South",1,0)</f>
        <v>0</v>
      </c>
      <c r="T215">
        <f>IF($C215="East",1,0)</f>
        <v>0</v>
      </c>
      <c r="U215">
        <f>66915.46892+(1.209928492*E215)+(27.33619482*F215)+(-41243.14883*G215)+(3508.399163*H215)+(3062.210286*I215)+(-3438.10791*J215)+(15157.28728*K215)+(12509.46131*L215)+(20219.25907*O215)+(32832.85351*P215)+(44695.0949*Q215)+(-15342.70531*R215)+(-4201.853217*S215)+(-25291.41891*T215)</f>
        <v>556324.49943701015</v>
      </c>
      <c r="V215">
        <f>M215-U215</f>
        <v>18111.790562989889</v>
      </c>
      <c r="W215">
        <f>V215^2</f>
        <v>328036957.39760959</v>
      </c>
    </row>
    <row r="216" spans="1:23">
      <c r="A216" t="s">
        <v>57</v>
      </c>
      <c r="B216" s="2">
        <v>45748</v>
      </c>
      <c r="C216" t="s">
        <v>27</v>
      </c>
      <c r="D216" t="s">
        <v>18</v>
      </c>
      <c r="E216">
        <v>50198.12</v>
      </c>
      <c r="F216">
        <v>6089</v>
      </c>
      <c r="G216">
        <v>0.182</v>
      </c>
      <c r="H216">
        <v>19</v>
      </c>
      <c r="I216">
        <v>94</v>
      </c>
      <c r="J216">
        <v>9.6999999999999993</v>
      </c>
      <c r="K216">
        <v>0</v>
      </c>
      <c r="L216">
        <v>3.9</v>
      </c>
      <c r="M216">
        <v>695098.51</v>
      </c>
      <c r="N216">
        <v>108192.75</v>
      </c>
      <c r="O216">
        <f>IF($D216="High Street",1,0)</f>
        <v>1</v>
      </c>
      <c r="P216">
        <f>IF($D216="Mall",1,0)</f>
        <v>0</v>
      </c>
      <c r="Q216">
        <f>IF($D216="Airport",1,0)</f>
        <v>0</v>
      </c>
      <c r="R216">
        <f>IF($C216="North",1,0)</f>
        <v>0</v>
      </c>
      <c r="S216">
        <f>IF($C216="South",1,0)</f>
        <v>0</v>
      </c>
      <c r="T216">
        <f>IF($C216="East",1,0)</f>
        <v>0</v>
      </c>
      <c r="U216">
        <f>66915.46892+(1.209928492*E216)+(27.33619482*F216)+(-41243.14883*G216)+(3508.399163*H216)+(3062.210286*I216)+(-3438.10791*J216)+(15157.28728*K216)+(12509.46131*L216)+(20219.25907*O216)+(32832.85351*P216)+(44695.0949*Q216)+(-15342.70531*R216)+(-4201.853217*S216)+(-25291.41891*T216)</f>
        <v>676759.30415775499</v>
      </c>
      <c r="V216">
        <f>M216-U216</f>
        <v>18339.205842245021</v>
      </c>
      <c r="W216">
        <f>V216^2</f>
        <v>336326470.92423391</v>
      </c>
    </row>
    <row r="217" spans="1:23">
      <c r="A217" t="s">
        <v>84</v>
      </c>
      <c r="B217" s="2">
        <v>45748</v>
      </c>
      <c r="C217" t="s">
        <v>20</v>
      </c>
      <c r="D217" t="s">
        <v>18</v>
      </c>
      <c r="E217">
        <v>97480.94</v>
      </c>
      <c r="F217">
        <v>6840</v>
      </c>
      <c r="G217">
        <v>8.6999999999999994E-2</v>
      </c>
      <c r="H217">
        <v>14</v>
      </c>
      <c r="I217">
        <v>79.2</v>
      </c>
      <c r="J217">
        <v>1.1399999999999999</v>
      </c>
      <c r="K217">
        <v>0</v>
      </c>
      <c r="L217">
        <v>4</v>
      </c>
      <c r="M217">
        <v>729440.45</v>
      </c>
      <c r="N217">
        <v>87614.29</v>
      </c>
      <c r="O217">
        <f>IF($D217="High Street",1,0)</f>
        <v>1</v>
      </c>
      <c r="P217">
        <f>IF($D217="Mall",1,0)</f>
        <v>0</v>
      </c>
      <c r="Q217">
        <f>IF($D217="Airport",1,0)</f>
        <v>0</v>
      </c>
      <c r="R217">
        <f>IF($C217="North",1,0)</f>
        <v>1</v>
      </c>
      <c r="S217">
        <f>IF($C217="South",1,0)</f>
        <v>0</v>
      </c>
      <c r="T217">
        <f>IF($C217="East",1,0)</f>
        <v>0</v>
      </c>
      <c r="U217">
        <f>66915.46892+(1.209928492*E217)+(27.33619482*F217)+(-41243.14883*G217)+(3508.399163*H217)+(3062.210286*I217)+(-3438.10791*J217)+(15157.28728*K217)+(12509.46131*L217)+(20219.25907*O217)+(32832.85351*P217)+(44695.0949*Q217)+(-15342.70531*R217)+(-4201.853217*S217)+(-25291.41891*T217)</f>
        <v>710891.4531893325</v>
      </c>
      <c r="V217">
        <f>M217-U217</f>
        <v>18548.99681066745</v>
      </c>
      <c r="W217">
        <f>V217^2</f>
        <v>344065282.6821512</v>
      </c>
    </row>
    <row r="218" spans="1:23">
      <c r="A218" t="s">
        <v>94</v>
      </c>
      <c r="B218" s="2">
        <v>45748</v>
      </c>
      <c r="C218" t="s">
        <v>15</v>
      </c>
      <c r="D218" t="s">
        <v>16</v>
      </c>
      <c r="E218">
        <v>54080.91</v>
      </c>
      <c r="F218">
        <v>7083</v>
      </c>
      <c r="G218">
        <v>0</v>
      </c>
      <c r="H218">
        <v>15</v>
      </c>
      <c r="I218">
        <v>97</v>
      </c>
      <c r="J218">
        <v>5.33</v>
      </c>
      <c r="K218">
        <v>0</v>
      </c>
      <c r="L218">
        <v>4.0999999999999996</v>
      </c>
      <c r="M218">
        <v>702068.92</v>
      </c>
      <c r="N218">
        <v>111266.63</v>
      </c>
      <c r="O218">
        <f>IF($D218="High Street",1,0)</f>
        <v>0</v>
      </c>
      <c r="P218">
        <f>IF($D218="Mall",1,0)</f>
        <v>0</v>
      </c>
      <c r="Q218">
        <f>IF($D218="Airport",1,0)</f>
        <v>0</v>
      </c>
      <c r="R218">
        <f>IF($C218="North",1,0)</f>
        <v>0</v>
      </c>
      <c r="S218">
        <f>IF($C218="South",1,0)</f>
        <v>0</v>
      </c>
      <c r="T218">
        <f>IF($C218="East",1,0)</f>
        <v>1</v>
      </c>
      <c r="U218">
        <f>66915.46892+(1.209928492*E218)+(27.33619482*F218)+(-41243.14883*G218)+(3508.399163*H218)+(3062.210286*I218)+(-3438.10791*J218)+(15157.28728*K218)+(12509.46131*L218)+(20219.25907*O218)+(32832.85351*P218)+(44695.0949*Q218)+(-15342.70531*R218)+(-4201.853217*S218)+(-25291.41891*T218)</f>
        <v>683304.41320004768</v>
      </c>
      <c r="V218">
        <f>M218-U218</f>
        <v>18764.50679995236</v>
      </c>
      <c r="W218">
        <f>V218^2</f>
        <v>352106715.44545835</v>
      </c>
    </row>
    <row r="219" spans="1:23">
      <c r="A219" t="s">
        <v>52</v>
      </c>
      <c r="B219" s="2">
        <v>45689</v>
      </c>
      <c r="C219" t="s">
        <v>20</v>
      </c>
      <c r="D219" t="s">
        <v>18</v>
      </c>
      <c r="E219">
        <v>83044.17</v>
      </c>
      <c r="F219">
        <v>3694</v>
      </c>
      <c r="G219">
        <v>0</v>
      </c>
      <c r="H219">
        <v>14</v>
      </c>
      <c r="I219">
        <v>89.4</v>
      </c>
      <c r="J219">
        <v>2.2000000000000002</v>
      </c>
      <c r="K219">
        <v>0</v>
      </c>
      <c r="L219">
        <v>3.7</v>
      </c>
      <c r="M219">
        <v>654317.09</v>
      </c>
      <c r="N219">
        <v>121446.89</v>
      </c>
      <c r="O219">
        <f>IF($D219="High Street",1,0)</f>
        <v>1</v>
      </c>
      <c r="P219">
        <f>IF($D219="Mall",1,0)</f>
        <v>0</v>
      </c>
      <c r="Q219">
        <f>IF($D219="Airport",1,0)</f>
        <v>0</v>
      </c>
      <c r="R219">
        <f>IF($C219="North",1,0)</f>
        <v>1</v>
      </c>
      <c r="S219">
        <f>IF($C219="South",1,0)</f>
        <v>0</v>
      </c>
      <c r="T219">
        <f>IF($C219="East",1,0)</f>
        <v>0</v>
      </c>
      <c r="U219">
        <f>66915.46892+(1.209928492*E219)+(27.33619482*F219)+(-41243.14883*G219)+(3508.399163*H219)+(3062.210286*I219)+(-3438.10791*J219)+(15157.28728*K219)+(12509.46131*L219)+(20219.25907*O219)+(32832.85351*P219)+(44695.0949*Q219)+(-15342.70531*R219)+(-4201.853217*S219)+(-25291.41891*T219)</f>
        <v>634849.7910179717</v>
      </c>
      <c r="V219">
        <f>M219-U219</f>
        <v>19467.298982028267</v>
      </c>
      <c r="W219">
        <f>V219^2</f>
        <v>378975729.65567881</v>
      </c>
    </row>
    <row r="220" spans="1:23">
      <c r="A220" t="s">
        <v>57</v>
      </c>
      <c r="B220" s="2">
        <v>45717</v>
      </c>
      <c r="C220" t="s">
        <v>27</v>
      </c>
      <c r="D220" t="s">
        <v>18</v>
      </c>
      <c r="E220">
        <v>44034.6</v>
      </c>
      <c r="F220">
        <v>5645</v>
      </c>
      <c r="G220">
        <v>6.9000000000000006E-2</v>
      </c>
      <c r="H220">
        <v>18</v>
      </c>
      <c r="I220">
        <v>88.5</v>
      </c>
      <c r="J220">
        <v>3.07</v>
      </c>
      <c r="K220">
        <v>0</v>
      </c>
      <c r="L220">
        <v>3.8</v>
      </c>
      <c r="M220">
        <v>682639.28</v>
      </c>
      <c r="N220">
        <v>77557.53</v>
      </c>
      <c r="O220">
        <f>IF($D220="High Street",1,0)</f>
        <v>1</v>
      </c>
      <c r="P220">
        <f>IF($D220="Mall",1,0)</f>
        <v>0</v>
      </c>
      <c r="Q220">
        <f>IF($D220="Airport",1,0)</f>
        <v>0</v>
      </c>
      <c r="R220">
        <f>IF($C220="North",1,0)</f>
        <v>0</v>
      </c>
      <c r="S220">
        <f>IF($C220="South",1,0)</f>
        <v>0</v>
      </c>
      <c r="T220">
        <f>IF($C220="East",1,0)</f>
        <v>0</v>
      </c>
      <c r="U220">
        <f>66915.46892+(1.209928492*E220)+(27.33619482*F220)+(-41243.14883*G220)+(3508.399163*H220)+(3062.210286*I220)+(-3438.10791*J220)+(15157.28728*K220)+(12509.46131*L220)+(20219.25907*O220)+(32832.85351*P220)+(44695.0949*Q220)+(-15342.70531*R220)+(-4201.853217*S220)+(-25291.41891*T220)</f>
        <v>663018.24459275336</v>
      </c>
      <c r="V220">
        <f>M220-U220</f>
        <v>19621.035407246673</v>
      </c>
      <c r="W220">
        <f>V220^2</f>
        <v>384985030.45242763</v>
      </c>
    </row>
    <row r="221" spans="1:23">
      <c r="A221" t="s">
        <v>78</v>
      </c>
      <c r="B221" s="2">
        <v>45658</v>
      </c>
      <c r="C221" t="s">
        <v>15</v>
      </c>
      <c r="D221" t="s">
        <v>28</v>
      </c>
      <c r="E221">
        <v>68212.289999999994</v>
      </c>
      <c r="F221">
        <v>4713</v>
      </c>
      <c r="G221">
        <v>0.19800000000000001</v>
      </c>
      <c r="H221">
        <v>15</v>
      </c>
      <c r="I221">
        <v>82.6</v>
      </c>
      <c r="J221">
        <v>4.07</v>
      </c>
      <c r="K221">
        <v>1</v>
      </c>
      <c r="L221">
        <v>3</v>
      </c>
      <c r="M221">
        <v>641564.6</v>
      </c>
      <c r="N221">
        <v>90468.96</v>
      </c>
      <c r="O221">
        <f>IF($D221="High Street",1,0)</f>
        <v>0</v>
      </c>
      <c r="P221">
        <f>IF($D221="Mall",1,0)</f>
        <v>1</v>
      </c>
      <c r="Q221">
        <f>IF($D221="Airport",1,0)</f>
        <v>0</v>
      </c>
      <c r="R221">
        <f>IF($C221="North",1,0)</f>
        <v>0</v>
      </c>
      <c r="S221">
        <f>IF($C221="South",1,0)</f>
        <v>0</v>
      </c>
      <c r="T221">
        <f>IF($C221="East",1,0)</f>
        <v>1</v>
      </c>
      <c r="U221">
        <f>66915.46892+(1.209928492*E221)+(27.33619482*F221)+(-41243.14883*G221)+(3508.399163*H221)+(3062.210286*I221)+(-3438.10791*J221)+(15157.28728*K221)+(12509.46131*L221)+(20219.25907*O221)+(32832.85351*P221)+(44695.0949*Q221)+(-15342.70531*R221)+(-4201.853217*S221)+(-25291.41891*T221)</f>
        <v>621915.3684987867</v>
      </c>
      <c r="V221">
        <f>M221-U221</f>
        <v>19649.231501213275</v>
      </c>
      <c r="W221">
        <f>V221^2</f>
        <v>386092298.58827209</v>
      </c>
    </row>
    <row r="222" spans="1:23">
      <c r="A222" t="s">
        <v>50</v>
      </c>
      <c r="B222" s="2">
        <v>45658</v>
      </c>
      <c r="C222" t="s">
        <v>27</v>
      </c>
      <c r="D222" t="s">
        <v>28</v>
      </c>
      <c r="E222">
        <v>61426.04</v>
      </c>
      <c r="F222">
        <v>8966</v>
      </c>
      <c r="G222">
        <v>0.17299999999999999</v>
      </c>
      <c r="H222">
        <v>22</v>
      </c>
      <c r="I222">
        <v>76.400000000000006</v>
      </c>
      <c r="J222">
        <v>1.05</v>
      </c>
      <c r="K222">
        <v>0</v>
      </c>
      <c r="L222">
        <v>3.1</v>
      </c>
      <c r="M222">
        <v>778397.97</v>
      </c>
      <c r="N222">
        <v>120044.41</v>
      </c>
      <c r="O222">
        <f>IF($D222="High Street",1,0)</f>
        <v>0</v>
      </c>
      <c r="P222">
        <f>IF($D222="Mall",1,0)</f>
        <v>1</v>
      </c>
      <c r="Q222">
        <f>IF($D222="Airport",1,0)</f>
        <v>0</v>
      </c>
      <c r="R222">
        <f>IF($C222="North",1,0)</f>
        <v>0</v>
      </c>
      <c r="S222">
        <f>IF($C222="South",1,0)</f>
        <v>0</v>
      </c>
      <c r="T222">
        <f>IF($C222="East",1,0)</f>
        <v>0</v>
      </c>
      <c r="U222">
        <f>66915.46892+(1.209928492*E222)+(27.33619482*F222)+(-41243.14883*G222)+(3508.399163*H222)+(3062.210286*I222)+(-3438.10791*J222)+(15157.28728*K222)+(12509.46131*L222)+(20219.25907*O222)+(32832.85351*P222)+(44695.0949*Q222)+(-15342.70531*R222)+(-4201.853217*S222)+(-25291.41891*T222)</f>
        <v>758337.6605771617</v>
      </c>
      <c r="V222">
        <f>M222-U222</f>
        <v>20060.309422838269</v>
      </c>
      <c r="W222">
        <f>V222^2</f>
        <v>402416014.14001381</v>
      </c>
    </row>
    <row r="223" spans="1:23">
      <c r="A223" t="s">
        <v>84</v>
      </c>
      <c r="B223" s="2">
        <v>45658</v>
      </c>
      <c r="C223" t="s">
        <v>20</v>
      </c>
      <c r="D223" t="s">
        <v>18</v>
      </c>
      <c r="E223">
        <v>40923.67</v>
      </c>
      <c r="F223">
        <v>3875</v>
      </c>
      <c r="G223">
        <v>0.15</v>
      </c>
      <c r="H223">
        <v>10</v>
      </c>
      <c r="I223">
        <v>96.1</v>
      </c>
      <c r="J223">
        <v>3.3650000000000002</v>
      </c>
      <c r="K223">
        <v>0</v>
      </c>
      <c r="L223">
        <v>3.8</v>
      </c>
      <c r="M223">
        <v>606783.67000000004</v>
      </c>
      <c r="N223">
        <v>74515.87</v>
      </c>
      <c r="O223">
        <f>IF($D223="High Street",1,0)</f>
        <v>1</v>
      </c>
      <c r="P223">
        <f>IF($D223="Mall",1,0)</f>
        <v>0</v>
      </c>
      <c r="Q223">
        <f>IF($D223="Airport",1,0)</f>
        <v>0</v>
      </c>
      <c r="R223">
        <f>IF($C223="North",1,0)</f>
        <v>1</v>
      </c>
      <c r="S223">
        <f>IF($C223="South",1,0)</f>
        <v>0</v>
      </c>
      <c r="T223">
        <f>IF($C223="East",1,0)</f>
        <v>0</v>
      </c>
      <c r="U223">
        <f>66915.46892+(1.209928492*E223)+(27.33619482*F223)+(-41243.14883*G223)+(3508.399163*H223)+(3062.210286*I223)+(-3438.10791*J223)+(15157.28728*K223)+(12509.46131*L223)+(20219.25907*O223)+(32832.85351*P223)+(44695.0949*Q223)+(-15342.70531*R223)+(-4201.853217*S223)+(-25291.41891*T223)</f>
        <v>586377.13958865567</v>
      </c>
      <c r="V223">
        <f>M223-U223</f>
        <v>20406.530411344371</v>
      </c>
      <c r="W223">
        <f>V223^2</f>
        <v>416426483.42912263</v>
      </c>
    </row>
    <row r="224" spans="1:23">
      <c r="A224" t="s">
        <v>48</v>
      </c>
      <c r="B224" s="2">
        <v>45658</v>
      </c>
      <c r="C224" t="s">
        <v>27</v>
      </c>
      <c r="D224" t="s">
        <v>18</v>
      </c>
      <c r="E224">
        <v>57919.07</v>
      </c>
      <c r="F224">
        <v>7374</v>
      </c>
      <c r="G224">
        <v>0.10299999999999999</v>
      </c>
      <c r="H224">
        <v>21</v>
      </c>
      <c r="I224">
        <v>82.3</v>
      </c>
      <c r="J224">
        <v>2.87</v>
      </c>
      <c r="K224">
        <v>0</v>
      </c>
      <c r="L224">
        <v>2.9</v>
      </c>
      <c r="M224">
        <v>727227.2</v>
      </c>
      <c r="N224">
        <v>121292.01</v>
      </c>
      <c r="O224">
        <f>IF($D224="High Street",1,0)</f>
        <v>1</v>
      </c>
      <c r="P224">
        <f>IF($D224="Mall",1,0)</f>
        <v>0</v>
      </c>
      <c r="Q224">
        <f>IF($D224="Airport",1,0)</f>
        <v>0</v>
      </c>
      <c r="R224">
        <f>IF($C224="North",1,0)</f>
        <v>0</v>
      </c>
      <c r="S224">
        <f>IF($C224="South",1,0)</f>
        <v>0</v>
      </c>
      <c r="T224">
        <f>IF($C224="East",1,0)</f>
        <v>0</v>
      </c>
      <c r="U224">
        <f>66915.46892+(1.209928492*E224)+(27.33619482*F224)+(-41243.14883*G224)+(3508.399163*H224)+(3062.210286*I224)+(-3438.10791*J224)+(15157.28728*K224)+(12509.46131*L224)+(20219.25907*O224)+(32832.85351*P224)+(44695.0949*Q224)+(-15342.70531*R224)+(-4201.853217*S224)+(-25291.41891*T224)</f>
        <v>706648.07434443233</v>
      </c>
      <c r="V224">
        <f>M224-U224</f>
        <v>20579.125655567623</v>
      </c>
      <c r="W224">
        <f>V224^2</f>
        <v>423500412.74764156</v>
      </c>
    </row>
    <row r="225" spans="1:23">
      <c r="A225" t="s">
        <v>83</v>
      </c>
      <c r="B225" s="2">
        <v>45658</v>
      </c>
      <c r="C225" t="s">
        <v>15</v>
      </c>
      <c r="D225" t="s">
        <v>18</v>
      </c>
      <c r="E225">
        <v>76942.2</v>
      </c>
      <c r="F225">
        <v>8934</v>
      </c>
      <c r="G225">
        <v>8.4000000000000005E-2</v>
      </c>
      <c r="H225">
        <v>20</v>
      </c>
      <c r="I225">
        <v>91</v>
      </c>
      <c r="J225">
        <v>0.95</v>
      </c>
      <c r="K225">
        <v>0</v>
      </c>
      <c r="L225">
        <v>3.2</v>
      </c>
      <c r="M225">
        <v>802001.68</v>
      </c>
      <c r="N225">
        <v>159715.82</v>
      </c>
      <c r="O225">
        <f>IF($D225="High Street",1,0)</f>
        <v>1</v>
      </c>
      <c r="P225">
        <f>IF($D225="Mall",1,0)</f>
        <v>0</v>
      </c>
      <c r="Q225">
        <f>IF($D225="Airport",1,0)</f>
        <v>0</v>
      </c>
      <c r="R225">
        <f>IF($C225="North",1,0)</f>
        <v>0</v>
      </c>
      <c r="S225">
        <f>IF($C225="South",1,0)</f>
        <v>0</v>
      </c>
      <c r="T225">
        <f>IF($C225="East",1,0)</f>
        <v>1</v>
      </c>
      <c r="U225">
        <f>66915.46892+(1.209928492*E225)+(27.33619482*F225)+(-41243.14883*G225)+(3508.399163*H225)+(3062.210286*I225)+(-3438.10791*J225)+(15157.28728*K225)+(12509.46131*L225)+(20219.25907*O225)+(32832.85351*P225)+(44695.0949*Q225)+(-15342.70531*R225)+(-4201.853217*S225)+(-25291.41891*T225)</f>
        <v>781288.20208082243</v>
      </c>
      <c r="V225">
        <f>M225-U225</f>
        <v>20713.477919177618</v>
      </c>
      <c r="W225">
        <f>V225^2</f>
        <v>429048167.50825876</v>
      </c>
    </row>
    <row r="226" spans="1:23">
      <c r="A226" t="s">
        <v>75</v>
      </c>
      <c r="B226" s="2">
        <v>45658</v>
      </c>
      <c r="C226" t="s">
        <v>27</v>
      </c>
      <c r="D226" t="s">
        <v>16</v>
      </c>
      <c r="E226">
        <v>50887.46</v>
      </c>
      <c r="F226">
        <v>9505</v>
      </c>
      <c r="G226">
        <v>9.0999999999999998E-2</v>
      </c>
      <c r="H226">
        <v>25</v>
      </c>
      <c r="I226">
        <v>89.7</v>
      </c>
      <c r="J226">
        <v>2.8</v>
      </c>
      <c r="K226">
        <v>0</v>
      </c>
      <c r="L226">
        <v>4.3</v>
      </c>
      <c r="M226">
        <v>812152.6</v>
      </c>
      <c r="N226">
        <v>138419.43</v>
      </c>
      <c r="O226">
        <f>IF($D226="High Street",1,0)</f>
        <v>0</v>
      </c>
      <c r="P226">
        <f>IF($D226="Mall",1,0)</f>
        <v>0</v>
      </c>
      <c r="Q226">
        <f>IF($D226="Airport",1,0)</f>
        <v>0</v>
      </c>
      <c r="R226">
        <f>IF($C226="North",1,0)</f>
        <v>0</v>
      </c>
      <c r="S226">
        <f>IF($C226="South",1,0)</f>
        <v>0</v>
      </c>
      <c r="T226">
        <f>IF($C226="East",1,0)</f>
        <v>0</v>
      </c>
      <c r="U226">
        <f>66915.46892+(1.209928492*E226)+(27.33619482*F226)+(-41243.14883*G226)+(3508.399163*H226)+(3062.210286*I226)+(-3438.10791*J226)+(15157.28728*K226)+(12509.46131*L226)+(20219.25907*O226)+(32832.85351*P226)+(44695.0949*Q226)+(-15342.70531*R226)+(-4201.853217*S226)+(-25291.41891*T226)</f>
        <v>791117.28509428038</v>
      </c>
      <c r="V226">
        <f>M226-U226</f>
        <v>21035.314905719599</v>
      </c>
      <c r="W226">
        <f>V226^2</f>
        <v>442484473.18278915</v>
      </c>
    </row>
    <row r="227" spans="1:23">
      <c r="A227" t="s">
        <v>43</v>
      </c>
      <c r="B227" s="2">
        <v>45717</v>
      </c>
      <c r="C227" t="s">
        <v>27</v>
      </c>
      <c r="D227" t="s">
        <v>18</v>
      </c>
      <c r="E227">
        <v>78231.91</v>
      </c>
      <c r="F227">
        <v>3788</v>
      </c>
      <c r="G227">
        <v>5.8999999999999997E-2</v>
      </c>
      <c r="H227">
        <v>11</v>
      </c>
      <c r="I227">
        <v>88.5</v>
      </c>
      <c r="J227">
        <v>15.51</v>
      </c>
      <c r="K227">
        <v>0</v>
      </c>
      <c r="L227">
        <v>4.3</v>
      </c>
      <c r="M227">
        <v>614596.31999999995</v>
      </c>
      <c r="N227">
        <v>131199.41</v>
      </c>
      <c r="O227">
        <f>IF($D227="High Street",1,0)</f>
        <v>1</v>
      </c>
      <c r="P227">
        <f>IF($D227="Mall",1,0)</f>
        <v>0</v>
      </c>
      <c r="Q227">
        <f>IF($D227="Airport",1,0)</f>
        <v>0</v>
      </c>
      <c r="R227">
        <f>IF($C227="North",1,0)</f>
        <v>0</v>
      </c>
      <c r="S227">
        <f>IF($C227="South",1,0)</f>
        <v>0</v>
      </c>
      <c r="T227">
        <f>IF($C227="East",1,0)</f>
        <v>0</v>
      </c>
      <c r="U227">
        <f>66915.46892+(1.209928492*E227)+(27.33619482*F227)+(-41243.14883*G227)+(3508.399163*H227)+(3062.210286*I227)+(-3438.10791*J227)+(15157.28728*K227)+(12509.46131*L227)+(20219.25907*O227)+(32832.85351*P227)+(44695.0949*Q227)+(-15342.70531*R227)+(-4201.853217*S227)+(-25291.41891*T227)</f>
        <v>592969.53613266977</v>
      </c>
      <c r="V227">
        <f>M227-U227</f>
        <v>21626.783867330174</v>
      </c>
      <c r="W227">
        <f>V227^2</f>
        <v>467717780.44421268</v>
      </c>
    </row>
    <row r="228" spans="1:23">
      <c r="A228" t="s">
        <v>88</v>
      </c>
      <c r="B228" s="2">
        <v>45717</v>
      </c>
      <c r="C228" t="s">
        <v>15</v>
      </c>
      <c r="D228" t="s">
        <v>18</v>
      </c>
      <c r="E228">
        <v>56602.39</v>
      </c>
      <c r="F228">
        <v>7969</v>
      </c>
      <c r="G228">
        <v>0.17</v>
      </c>
      <c r="H228">
        <v>21</v>
      </c>
      <c r="I228">
        <v>88.3</v>
      </c>
      <c r="J228">
        <v>2.25</v>
      </c>
      <c r="K228">
        <v>0</v>
      </c>
      <c r="L228">
        <v>3.7</v>
      </c>
      <c r="M228">
        <v>745580.51</v>
      </c>
      <c r="N228">
        <v>116273.68</v>
      </c>
      <c r="O228">
        <f>IF($D228="High Street",1,0)</f>
        <v>1</v>
      </c>
      <c r="P228">
        <f>IF($D228="Mall",1,0)</f>
        <v>0</v>
      </c>
      <c r="Q228">
        <f>IF($D228="Airport",1,0)</f>
        <v>0</v>
      </c>
      <c r="R228">
        <f>IF($C228="North",1,0)</f>
        <v>0</v>
      </c>
      <c r="S228">
        <f>IF($C228="South",1,0)</f>
        <v>0</v>
      </c>
      <c r="T228">
        <f>IF($C228="East",1,0)</f>
        <v>1</v>
      </c>
      <c r="U228">
        <f>66915.46892+(1.209928492*E228)+(27.33619482*F228)+(-41243.14883*G228)+(3508.399163*H228)+(3062.210286*I228)+(-3438.10791*J228)+(15157.28728*K228)+(12509.46131*L228)+(20219.25907*O228)+(32832.85351*P228)+(44695.0949*Q228)+(-15342.70531*R228)+(-4201.853217*S228)+(-25291.41891*T228)</f>
        <v>723777.76940207591</v>
      </c>
      <c r="V228">
        <f>M228-U228</f>
        <v>21802.740597924101</v>
      </c>
      <c r="W228">
        <f>V228^2</f>
        <v>475359497.5803678</v>
      </c>
    </row>
    <row r="229" spans="1:23">
      <c r="A229" t="s">
        <v>82</v>
      </c>
      <c r="B229" s="2">
        <v>45658</v>
      </c>
      <c r="C229" t="s">
        <v>24</v>
      </c>
      <c r="D229" t="s">
        <v>21</v>
      </c>
      <c r="E229">
        <v>69900.12</v>
      </c>
      <c r="F229">
        <v>8055</v>
      </c>
      <c r="G229">
        <v>0.28100000000000003</v>
      </c>
      <c r="H229">
        <v>22</v>
      </c>
      <c r="I229">
        <v>85.6</v>
      </c>
      <c r="J229">
        <v>10.68</v>
      </c>
      <c r="K229">
        <v>1</v>
      </c>
      <c r="L229">
        <v>2.9</v>
      </c>
      <c r="M229">
        <v>776992.93</v>
      </c>
      <c r="N229">
        <v>101598.32</v>
      </c>
      <c r="O229">
        <f>IF($D229="High Street",1,0)</f>
        <v>0</v>
      </c>
      <c r="P229">
        <f>IF($D229="Mall",1,0)</f>
        <v>0</v>
      </c>
      <c r="Q229">
        <f>IF($D229="Airport",1,0)</f>
        <v>1</v>
      </c>
      <c r="R229">
        <f>IF($C229="North",1,0)</f>
        <v>0</v>
      </c>
      <c r="S229">
        <f>IF($C229="South",1,0)</f>
        <v>1</v>
      </c>
      <c r="T229">
        <f>IF($C229="East",1,0)</f>
        <v>0</v>
      </c>
      <c r="U229">
        <f>66915.46892+(1.209928492*E229)+(27.33619482*F229)+(-41243.14883*G229)+(3508.399163*H229)+(3062.210286*I229)+(-3438.10791*J229)+(15157.28728*K229)+(12509.46131*L229)+(20219.25907*O229)+(32832.85351*P229)+(44695.0949*Q229)+(-15342.70531*R229)+(-4201.853217*S229)+(-25291.41891*T229)</f>
        <v>754612.29650688893</v>
      </c>
      <c r="V229">
        <f>M229-U229</f>
        <v>22380.63349311112</v>
      </c>
      <c r="W229">
        <f>V229^2</f>
        <v>500892755.55296725</v>
      </c>
    </row>
    <row r="230" spans="1:23">
      <c r="A230" t="s">
        <v>50</v>
      </c>
      <c r="B230" s="2">
        <v>45689</v>
      </c>
      <c r="C230" t="s">
        <v>27</v>
      </c>
      <c r="D230" t="s">
        <v>28</v>
      </c>
      <c r="E230">
        <v>80176.34</v>
      </c>
      <c r="F230">
        <v>9489</v>
      </c>
      <c r="G230">
        <v>0.14199999999999999</v>
      </c>
      <c r="H230">
        <v>22</v>
      </c>
      <c r="I230">
        <v>94.3</v>
      </c>
      <c r="J230">
        <v>2.67</v>
      </c>
      <c r="K230">
        <v>0</v>
      </c>
      <c r="L230">
        <v>3.5</v>
      </c>
      <c r="M230">
        <v>873380.02</v>
      </c>
      <c r="N230">
        <v>149734.76</v>
      </c>
      <c r="O230">
        <f>IF($D230="High Street",1,0)</f>
        <v>0</v>
      </c>
      <c r="P230">
        <f>IF($D230="Mall",1,0)</f>
        <v>1</v>
      </c>
      <c r="Q230">
        <f>IF($D230="Airport",1,0)</f>
        <v>0</v>
      </c>
      <c r="R230">
        <f>IF($C230="North",1,0)</f>
        <v>0</v>
      </c>
      <c r="S230">
        <f>IF($C230="South",1,0)</f>
        <v>0</v>
      </c>
      <c r="T230">
        <f>IF($C230="East",1,0)</f>
        <v>0</v>
      </c>
      <c r="U230">
        <f>66915.46892+(1.209928492*E230)+(27.33619482*F230)+(-41243.14883*G230)+(3508.399163*H230)+(3062.210286*I230)+(-3438.10791*J230)+(15157.28728*K230)+(12509.46131*L230)+(20219.25907*O230)+(32832.85351*P230)+(44695.0949*Q230)+(-15342.70531*R230)+(-4201.853217*S230)+(-25291.41891*T230)</f>
        <v>850847.16411449935</v>
      </c>
      <c r="V230">
        <f>M230-U230</f>
        <v>22532.85588550067</v>
      </c>
      <c r="W230">
        <f>V230^2</f>
        <v>507729594.3567422</v>
      </c>
    </row>
    <row r="231" spans="1:23">
      <c r="A231" t="s">
        <v>35</v>
      </c>
      <c r="B231" s="2">
        <v>45717</v>
      </c>
      <c r="C231" t="s">
        <v>27</v>
      </c>
      <c r="D231" t="s">
        <v>18</v>
      </c>
      <c r="E231">
        <v>81195.5</v>
      </c>
      <c r="F231">
        <v>5516</v>
      </c>
      <c r="G231">
        <v>0.106</v>
      </c>
      <c r="H231">
        <v>14</v>
      </c>
      <c r="I231">
        <v>88</v>
      </c>
      <c r="J231">
        <v>1.76</v>
      </c>
      <c r="K231">
        <v>0</v>
      </c>
      <c r="L231">
        <v>4.3</v>
      </c>
      <c r="M231">
        <v>720852.5</v>
      </c>
      <c r="N231">
        <v>98565.62</v>
      </c>
      <c r="O231">
        <f>IF($D231="High Street",1,0)</f>
        <v>1</v>
      </c>
      <c r="P231">
        <f>IF($D231="Mall",1,0)</f>
        <v>0</v>
      </c>
      <c r="Q231">
        <f>IF($D231="Airport",1,0)</f>
        <v>0</v>
      </c>
      <c r="R231">
        <f>IF($C231="North",1,0)</f>
        <v>0</v>
      </c>
      <c r="S231">
        <f>IF($C231="South",1,0)</f>
        <v>0</v>
      </c>
      <c r="T231">
        <f>IF($C231="East",1,0)</f>
        <v>0</v>
      </c>
      <c r="U231">
        <f>66915.46892+(1.209928492*E231)+(27.33619482*F231)+(-41243.14883*G231)+(3508.399163*H231)+(3062.210286*I231)+(-3438.10791*J231)+(15157.28728*K231)+(12509.46131*L231)+(20219.25907*O231)+(32832.85351*P231)+(44695.0949*Q231)+(-15342.70531*R231)+(-4201.853217*S231)+(-25291.41891*T231)</f>
        <v>698121.86087472609</v>
      </c>
      <c r="V231">
        <f>M231-U231</f>
        <v>22730.639125273912</v>
      </c>
      <c r="W231">
        <f>V231^2</f>
        <v>516681955.04343319</v>
      </c>
    </row>
    <row r="232" spans="1:23">
      <c r="A232" t="s">
        <v>49</v>
      </c>
      <c r="B232" s="2">
        <v>45658</v>
      </c>
      <c r="C232" t="s">
        <v>15</v>
      </c>
      <c r="D232" t="s">
        <v>28</v>
      </c>
      <c r="E232">
        <v>75265.02</v>
      </c>
      <c r="F232">
        <v>6975</v>
      </c>
      <c r="G232">
        <v>0.157</v>
      </c>
      <c r="H232">
        <v>20</v>
      </c>
      <c r="I232">
        <v>73.8</v>
      </c>
      <c r="J232">
        <v>6.35</v>
      </c>
      <c r="K232">
        <v>1</v>
      </c>
      <c r="L232">
        <v>3.8</v>
      </c>
      <c r="M232">
        <v>709478.39</v>
      </c>
      <c r="N232">
        <v>71294.27</v>
      </c>
      <c r="O232">
        <f>IF($D232="High Street",1,0)</f>
        <v>0</v>
      </c>
      <c r="P232">
        <f>IF($D232="Mall",1,0)</f>
        <v>1</v>
      </c>
      <c r="Q232">
        <f>IF($D232="Airport",1,0)</f>
        <v>0</v>
      </c>
      <c r="R232">
        <f>IF($C232="North",1,0)</f>
        <v>0</v>
      </c>
      <c r="S232">
        <f>IF($C232="South",1,0)</f>
        <v>0</v>
      </c>
      <c r="T232">
        <f>IF($C232="East",1,0)</f>
        <v>1</v>
      </c>
      <c r="U232">
        <f>66915.46892+(1.209928492*E232)+(27.33619482*F232)+(-41243.14883*G232)+(3508.399163*H232)+(3062.210286*I232)+(-3438.10791*J232)+(15157.28728*K232)+(12509.46131*L232)+(20219.25907*O232)+(32832.85351*P232)+(44695.0949*Q232)+(-15342.70531*R232)+(-4201.853217*S232)+(-25291.41891*T232)</f>
        <v>686737.33756843989</v>
      </c>
      <c r="V232">
        <f>M232-U232</f>
        <v>22741.052431560121</v>
      </c>
      <c r="W232">
        <f>V232^2</f>
        <v>517155465.6949665</v>
      </c>
    </row>
    <row r="233" spans="1:23">
      <c r="A233" t="s">
        <v>34</v>
      </c>
      <c r="B233" s="2">
        <v>45689</v>
      </c>
      <c r="C233" t="s">
        <v>20</v>
      </c>
      <c r="D233" t="s">
        <v>28</v>
      </c>
      <c r="E233">
        <v>49710.29</v>
      </c>
      <c r="F233">
        <v>5559</v>
      </c>
      <c r="G233">
        <v>0.218</v>
      </c>
      <c r="H233">
        <v>14</v>
      </c>
      <c r="I233">
        <v>71</v>
      </c>
      <c r="J233">
        <v>9.11</v>
      </c>
      <c r="K233">
        <v>0</v>
      </c>
      <c r="L233">
        <v>4.5999999999999996</v>
      </c>
      <c r="M233">
        <v>603297.56999999995</v>
      </c>
      <c r="N233">
        <v>60592.26</v>
      </c>
      <c r="O233">
        <f>IF($D233="High Street",1,0)</f>
        <v>0</v>
      </c>
      <c r="P233">
        <f>IF($D233="Mall",1,0)</f>
        <v>1</v>
      </c>
      <c r="Q233">
        <f>IF($D233="Airport",1,0)</f>
        <v>0</v>
      </c>
      <c r="R233">
        <f>IF($C233="North",1,0)</f>
        <v>1</v>
      </c>
      <c r="S233">
        <f>IF($C233="South",1,0)</f>
        <v>0</v>
      </c>
      <c r="T233">
        <f>IF($C233="East",1,0)</f>
        <v>0</v>
      </c>
      <c r="U233">
        <f>66915.46892+(1.209928492*E233)+(27.33619482*F233)+(-41243.14883*G233)+(3508.399163*H233)+(3062.210286*I233)+(-3438.10791*J233)+(15157.28728*K233)+(12509.46131*L233)+(20219.25907*O233)+(32832.85351*P233)+(44695.0949*Q233)+(-15342.70531*R233)+(-4201.853217*S233)+(-25291.41891*T233)</f>
        <v>580279.29144992272</v>
      </c>
      <c r="V233">
        <f>M233-U233</f>
        <v>23018.27855007723</v>
      </c>
      <c r="W233">
        <f>V233^2</f>
        <v>529841147.4089455</v>
      </c>
    </row>
    <row r="234" spans="1:23">
      <c r="A234" t="s">
        <v>34</v>
      </c>
      <c r="B234" s="2">
        <v>45717</v>
      </c>
      <c r="C234" t="s">
        <v>20</v>
      </c>
      <c r="D234" t="s">
        <v>28</v>
      </c>
      <c r="E234">
        <v>48287.85</v>
      </c>
      <c r="F234">
        <v>5150</v>
      </c>
      <c r="G234">
        <v>8.0000000000000002E-3</v>
      </c>
      <c r="H234">
        <v>12</v>
      </c>
      <c r="I234">
        <v>80.400000000000006</v>
      </c>
      <c r="J234">
        <v>7.4</v>
      </c>
      <c r="K234">
        <v>0</v>
      </c>
      <c r="L234">
        <v>4.5</v>
      </c>
      <c r="M234">
        <v>625672.86</v>
      </c>
      <c r="N234">
        <v>118020.12</v>
      </c>
      <c r="O234">
        <f>IF($D234="High Street",1,0)</f>
        <v>0</v>
      </c>
      <c r="P234">
        <f>IF($D234="Mall",1,0)</f>
        <v>1</v>
      </c>
      <c r="Q234">
        <f>IF($D234="Airport",1,0)</f>
        <v>0</v>
      </c>
      <c r="R234">
        <f>IF($C234="North",1,0)</f>
        <v>1</v>
      </c>
      <c r="S234">
        <f>IF($C234="South",1,0)</f>
        <v>0</v>
      </c>
      <c r="T234">
        <f>IF($C234="East",1,0)</f>
        <v>0</v>
      </c>
      <c r="U234">
        <f>66915.46892+(1.209928492*E234)+(27.33619482*F234)+(-41243.14883*G234)+(3508.399163*H234)+(3062.210286*I234)+(-3438.10791*J234)+(15157.28728*K234)+(12509.46131*L234)+(20219.25907*O234)+(32832.85351*P234)+(44695.0949*Q234)+(-15342.70531*R234)+(-4201.853217*S234)+(-25291.41891*T234)</f>
        <v>602434.99509618233</v>
      </c>
      <c r="V234">
        <f>M234-U234</f>
        <v>23237.864903817652</v>
      </c>
      <c r="W234">
        <f>V234^2</f>
        <v>539998365.28808022</v>
      </c>
    </row>
    <row r="235" spans="1:23">
      <c r="A235" t="s">
        <v>33</v>
      </c>
      <c r="B235" s="2">
        <v>45717</v>
      </c>
      <c r="C235" t="s">
        <v>27</v>
      </c>
      <c r="D235" t="s">
        <v>16</v>
      </c>
      <c r="E235">
        <v>50043.65</v>
      </c>
      <c r="F235">
        <v>3804</v>
      </c>
      <c r="G235">
        <v>0.113</v>
      </c>
      <c r="H235">
        <v>11</v>
      </c>
      <c r="I235">
        <v>90.9</v>
      </c>
      <c r="J235">
        <v>2.7</v>
      </c>
      <c r="K235">
        <v>1</v>
      </c>
      <c r="L235">
        <v>3.2</v>
      </c>
      <c r="M235">
        <v>614800.09</v>
      </c>
      <c r="N235">
        <v>100044.2</v>
      </c>
      <c r="O235">
        <f>IF($D235="High Street",1,0)</f>
        <v>0</v>
      </c>
      <c r="P235">
        <f>IF($D235="Mall",1,0)</f>
        <v>0</v>
      </c>
      <c r="Q235">
        <f>IF($D235="Airport",1,0)</f>
        <v>0</v>
      </c>
      <c r="R235">
        <f>IF($C235="North",1,0)</f>
        <v>0</v>
      </c>
      <c r="S235">
        <f>IF($C235="South",1,0)</f>
        <v>0</v>
      </c>
      <c r="T235">
        <f>IF($C235="East",1,0)</f>
        <v>0</v>
      </c>
      <c r="U235">
        <f>66915.46892+(1.209928492*E235)+(27.33619482*F235)+(-41243.14883*G235)+(3508.399163*H235)+(3062.210286*I235)+(-3438.10791*J235)+(15157.28728*K235)+(12509.46131*L235)+(20219.25907*O235)+(32832.85351*P235)+(44695.0949*Q235)+(-15342.70531*R235)+(-4201.853217*S235)+(-25291.41891*T235)</f>
        <v>589643.09408156585</v>
      </c>
      <c r="V235">
        <f>M235-U235</f>
        <v>25156.995918434113</v>
      </c>
      <c r="W235">
        <f>V235^2</f>
        <v>632874443.64011061</v>
      </c>
    </row>
    <row r="236" spans="1:23">
      <c r="A236" t="s">
        <v>22</v>
      </c>
      <c r="B236" s="2">
        <v>45748</v>
      </c>
      <c r="C236" t="s">
        <v>15</v>
      </c>
      <c r="D236" t="s">
        <v>16</v>
      </c>
      <c r="E236">
        <v>75305.710000000006</v>
      </c>
      <c r="F236">
        <v>10940</v>
      </c>
      <c r="G236">
        <v>6.0000000000000001E-3</v>
      </c>
      <c r="H236">
        <v>26</v>
      </c>
      <c r="I236">
        <v>76.5</v>
      </c>
      <c r="J236">
        <v>1.32</v>
      </c>
      <c r="K236">
        <v>0</v>
      </c>
      <c r="L236">
        <v>4.5</v>
      </c>
      <c r="M236">
        <v>834017.02</v>
      </c>
      <c r="N236">
        <v>114745.03</v>
      </c>
      <c r="O236">
        <f>IF($D236="High Street",1,0)</f>
        <v>0</v>
      </c>
      <c r="P236">
        <f>IF($D236="Mall",1,0)</f>
        <v>0</v>
      </c>
      <c r="Q236">
        <f>IF($D236="Airport",1,0)</f>
        <v>0</v>
      </c>
      <c r="R236">
        <f>IF($C236="North",1,0)</f>
        <v>0</v>
      </c>
      <c r="S236">
        <f>IF($C236="South",1,0)</f>
        <v>0</v>
      </c>
      <c r="T236">
        <f>IF($C236="East",1,0)</f>
        <v>1</v>
      </c>
      <c r="U236">
        <f>66915.46892+(1.209928492*E236)+(27.33619482*F236)+(-41243.14883*G236)+(3508.399163*H236)+(3062.210286*I236)+(-3438.10791*J236)+(15157.28728*K236)+(12509.46131*L236)+(20219.25907*O236)+(32832.85351*P236)+(44695.0949*Q236)+(-15342.70531*R236)+(-4201.853217*S236)+(-25291.41891*T236)</f>
        <v>808780.82515790919</v>
      </c>
      <c r="V236">
        <f>M236-U236</f>
        <v>25236.19484209083</v>
      </c>
      <c r="W236">
        <f>V236^2</f>
        <v>636865530.10797179</v>
      </c>
    </row>
    <row r="237" spans="1:23">
      <c r="A237" t="s">
        <v>86</v>
      </c>
      <c r="B237" s="2">
        <v>45748</v>
      </c>
      <c r="C237" t="s">
        <v>24</v>
      </c>
      <c r="D237" t="s">
        <v>28</v>
      </c>
      <c r="E237">
        <v>38397.82</v>
      </c>
      <c r="F237">
        <v>7836</v>
      </c>
      <c r="G237">
        <v>7.0000000000000001E-3</v>
      </c>
      <c r="H237">
        <v>21</v>
      </c>
      <c r="I237">
        <v>92.2</v>
      </c>
      <c r="J237">
        <v>1.82</v>
      </c>
      <c r="K237">
        <v>0</v>
      </c>
      <c r="L237">
        <v>3.6</v>
      </c>
      <c r="M237">
        <v>776110.32</v>
      </c>
      <c r="N237">
        <v>139676.21</v>
      </c>
      <c r="O237">
        <f>IF($D237="High Street",1,0)</f>
        <v>0</v>
      </c>
      <c r="P237">
        <f>IF($D237="Mall",1,0)</f>
        <v>1</v>
      </c>
      <c r="Q237">
        <f>IF($D237="Airport",1,0)</f>
        <v>0</v>
      </c>
      <c r="R237">
        <f>IF($C237="North",1,0)</f>
        <v>0</v>
      </c>
      <c r="S237">
        <f>IF($C237="South",1,0)</f>
        <v>1</v>
      </c>
      <c r="T237">
        <f>IF($C237="East",1,0)</f>
        <v>0</v>
      </c>
      <c r="U237">
        <f>66915.46892+(1.209928492*E237)+(27.33619482*F237)+(-41243.14883*G237)+(3508.399163*H237)+(3062.210286*I237)+(-3438.10791*J237)+(15157.28728*K237)+(12509.46131*L237)+(20219.25907*O237)+(32832.85351*P237)+(44695.0949*Q237)+(-15342.70531*R237)+(-4201.853217*S237)+(-25291.41891*T237)</f>
        <v>750711.68134139746</v>
      </c>
      <c r="V237">
        <f>M237-U237</f>
        <v>25398.638658602489</v>
      </c>
      <c r="W237">
        <f>V237^2</f>
        <v>645090845.71025681</v>
      </c>
    </row>
    <row r="238" spans="1:23">
      <c r="A238" t="s">
        <v>29</v>
      </c>
      <c r="B238" s="2">
        <v>45689</v>
      </c>
      <c r="C238" t="s">
        <v>15</v>
      </c>
      <c r="D238" t="s">
        <v>16</v>
      </c>
      <c r="E238">
        <v>63176.73</v>
      </c>
      <c r="F238">
        <v>2390</v>
      </c>
      <c r="G238">
        <v>0.216</v>
      </c>
      <c r="H238">
        <v>9</v>
      </c>
      <c r="I238">
        <v>87.5</v>
      </c>
      <c r="J238">
        <v>0.31</v>
      </c>
      <c r="K238">
        <v>0</v>
      </c>
      <c r="L238">
        <v>3.1</v>
      </c>
      <c r="M238">
        <v>537383.79</v>
      </c>
      <c r="N238">
        <v>63773.27</v>
      </c>
      <c r="O238">
        <f>IF($D238="High Street",1,0)</f>
        <v>0</v>
      </c>
      <c r="P238">
        <f>IF($D238="Mall",1,0)</f>
        <v>0</v>
      </c>
      <c r="Q238">
        <f>IF($D238="Airport",1,0)</f>
        <v>0</v>
      </c>
      <c r="R238">
        <f>IF($C238="North",1,0)</f>
        <v>0</v>
      </c>
      <c r="S238">
        <f>IF($C238="South",1,0)</f>
        <v>0</v>
      </c>
      <c r="T238">
        <f>IF($C238="East",1,0)</f>
        <v>1</v>
      </c>
      <c r="U238">
        <f>66915.46892+(1.209928492*E238)+(27.33619482*F238)+(-41243.14883*G238)+(3508.399163*H238)+(3062.210286*I238)+(-3438.10791*J238)+(15157.28728*K238)+(12509.46131*L238)+(20219.25907*O238)+(32832.85351*P238)+(44695.0949*Q238)+(-15342.70531*R238)+(-4201.853217*S238)+(-25291.41891*T238)</f>
        <v>511720.87024181115</v>
      </c>
      <c r="V238">
        <f>M238-U238</f>
        <v>25662.919758188887</v>
      </c>
      <c r="W238">
        <f>V238^2</f>
        <v>658585450.51524162</v>
      </c>
    </row>
    <row r="239" spans="1:23">
      <c r="A239" t="s">
        <v>76</v>
      </c>
      <c r="B239" s="2">
        <v>45658</v>
      </c>
      <c r="C239" t="s">
        <v>20</v>
      </c>
      <c r="D239" t="s">
        <v>21</v>
      </c>
      <c r="E239">
        <v>69180.539999999994</v>
      </c>
      <c r="F239">
        <v>5394</v>
      </c>
      <c r="G239">
        <v>0.126</v>
      </c>
      <c r="H239">
        <v>12</v>
      </c>
      <c r="I239">
        <v>82.9</v>
      </c>
      <c r="J239">
        <v>3.27</v>
      </c>
      <c r="K239">
        <v>0</v>
      </c>
      <c r="L239">
        <v>3.3</v>
      </c>
      <c r="M239">
        <v>674289.1</v>
      </c>
      <c r="N239">
        <v>117773.79</v>
      </c>
      <c r="O239">
        <f>IF($D239="High Street",1,0)</f>
        <v>0</v>
      </c>
      <c r="P239">
        <f>IF($D239="Mall",1,0)</f>
        <v>0</v>
      </c>
      <c r="Q239">
        <f>IF($D239="Airport",1,0)</f>
        <v>1</v>
      </c>
      <c r="R239">
        <f>IF($C239="North",1,0)</f>
        <v>1</v>
      </c>
      <c r="S239">
        <f>IF($C239="South",1,0)</f>
        <v>0</v>
      </c>
      <c r="T239">
        <f>IF($C239="East",1,0)</f>
        <v>0</v>
      </c>
      <c r="U239">
        <f>66915.46892+(1.209928492*E239)+(27.33619482*F239)+(-41243.14883*G239)+(3508.399163*H239)+(3062.210286*I239)+(-3438.10791*J239)+(15157.28728*K239)+(12509.46131*L239)+(20219.25907*O239)+(32832.85351*P239)+(44695.0949*Q239)+(-15342.70531*R239)+(-4201.853217*S239)+(-25291.41891*T239)</f>
        <v>648222.79517714563</v>
      </c>
      <c r="V239">
        <f>M239-U239</f>
        <v>26066.304822854348</v>
      </c>
      <c r="W239">
        <f>V239^2</f>
        <v>679452247.11795986</v>
      </c>
    </row>
    <row r="240" spans="1:23">
      <c r="A240" t="s">
        <v>100</v>
      </c>
      <c r="B240" s="2">
        <v>45717</v>
      </c>
      <c r="C240" t="s">
        <v>20</v>
      </c>
      <c r="D240" t="s">
        <v>16</v>
      </c>
      <c r="E240">
        <v>62507.16</v>
      </c>
      <c r="F240">
        <v>6000</v>
      </c>
      <c r="G240">
        <v>9.0999999999999998E-2</v>
      </c>
      <c r="H240">
        <v>14</v>
      </c>
      <c r="I240">
        <v>98.2</v>
      </c>
      <c r="J240">
        <v>4.38</v>
      </c>
      <c r="K240">
        <v>1</v>
      </c>
      <c r="L240">
        <v>3.9</v>
      </c>
      <c r="M240">
        <v>712375.77</v>
      </c>
      <c r="N240">
        <v>104171.53</v>
      </c>
      <c r="O240">
        <f>IF($D240="High Street",1,0)</f>
        <v>0</v>
      </c>
      <c r="P240">
        <f>IF($D240="Mall",1,0)</f>
        <v>0</v>
      </c>
      <c r="Q240">
        <f>IF($D240="Airport",1,0)</f>
        <v>0</v>
      </c>
      <c r="R240">
        <f>IF($C240="North",1,0)</f>
        <v>1</v>
      </c>
      <c r="S240">
        <f>IF($C240="South",1,0)</f>
        <v>0</v>
      </c>
      <c r="T240">
        <f>IF($C240="East",1,0)</f>
        <v>0</v>
      </c>
      <c r="U240">
        <f>66915.46892+(1.209928492*E240)+(27.33619482*F240)+(-41243.14883*G240)+(3508.399163*H240)+(3062.210286*I240)+(-3438.10791*J240)+(15157.28728*K240)+(12509.46131*L240)+(20219.25907*O240)+(32832.85351*P240)+(44695.0949*Q240)+(-15342.70531*R240)+(-4201.853217*S240)+(-25291.41891*T240)</f>
        <v>686177.91193487274</v>
      </c>
      <c r="V240">
        <f>M240-U240</f>
        <v>26197.858065127279</v>
      </c>
      <c r="W240">
        <f>V240^2</f>
        <v>686327767.20055437</v>
      </c>
    </row>
    <row r="241" spans="1:23">
      <c r="A241" t="s">
        <v>76</v>
      </c>
      <c r="B241" s="2">
        <v>45717</v>
      </c>
      <c r="C241" t="s">
        <v>20</v>
      </c>
      <c r="D241" t="s">
        <v>21</v>
      </c>
      <c r="E241">
        <v>58785.33</v>
      </c>
      <c r="F241">
        <v>4467</v>
      </c>
      <c r="G241">
        <v>0.22900000000000001</v>
      </c>
      <c r="H241">
        <v>14</v>
      </c>
      <c r="I241">
        <v>90.7</v>
      </c>
      <c r="J241">
        <v>1.92</v>
      </c>
      <c r="K241">
        <v>0</v>
      </c>
      <c r="L241">
        <v>3.7</v>
      </c>
      <c r="M241">
        <v>673348.56</v>
      </c>
      <c r="N241">
        <v>69464.59</v>
      </c>
      <c r="O241">
        <f>IF($D241="High Street",1,0)</f>
        <v>0</v>
      </c>
      <c r="P241">
        <f>IF($D241="Mall",1,0)</f>
        <v>0</v>
      </c>
      <c r="Q241">
        <f>IF($D241="Airport",1,0)</f>
        <v>1</v>
      </c>
      <c r="R241">
        <f>IF($C241="North",1,0)</f>
        <v>1</v>
      </c>
      <c r="S241">
        <f>IF($C241="South",1,0)</f>
        <v>0</v>
      </c>
      <c r="T241">
        <f>IF($C241="East",1,0)</f>
        <v>0</v>
      </c>
      <c r="U241">
        <f>66915.46892+(1.209928492*E241)+(27.33619482*F241)+(-41243.14883*G241)+(3508.399163*H241)+(3062.210286*I241)+(-3438.10791*J241)+(15157.28728*K241)+(12509.46131*L241)+(20219.25907*O241)+(32832.85351*P241)+(44695.0949*Q241)+(-15342.70531*R241)+(-4201.853217*S241)+(-25291.41891*T241)</f>
        <v>646603.90624949231</v>
      </c>
      <c r="V241">
        <f>M241-U241</f>
        <v>26744.653750507743</v>
      </c>
      <c r="W241">
        <f>V241^2</f>
        <v>715276504.23454785</v>
      </c>
    </row>
    <row r="242" spans="1:23">
      <c r="A242" t="s">
        <v>47</v>
      </c>
      <c r="B242" s="2">
        <v>45658</v>
      </c>
      <c r="C242" t="s">
        <v>15</v>
      </c>
      <c r="D242" t="s">
        <v>28</v>
      </c>
      <c r="E242">
        <v>53084.76</v>
      </c>
      <c r="F242">
        <v>3642</v>
      </c>
      <c r="G242">
        <v>0.15</v>
      </c>
      <c r="H242">
        <v>12</v>
      </c>
      <c r="I242">
        <v>91.4</v>
      </c>
      <c r="J242">
        <v>0.2</v>
      </c>
      <c r="K242">
        <v>0</v>
      </c>
      <c r="L242">
        <v>4.4000000000000004</v>
      </c>
      <c r="M242">
        <v>635181.35</v>
      </c>
      <c r="N242">
        <v>83341.25</v>
      </c>
      <c r="O242">
        <f>IF($D242="High Street",1,0)</f>
        <v>0</v>
      </c>
      <c r="P242">
        <f>IF($D242="Mall",1,0)</f>
        <v>1</v>
      </c>
      <c r="Q242">
        <f>IF($D242="Airport",1,0)</f>
        <v>0</v>
      </c>
      <c r="R242">
        <f>IF($C242="North",1,0)</f>
        <v>0</v>
      </c>
      <c r="S242">
        <f>IF($C242="South",1,0)</f>
        <v>0</v>
      </c>
      <c r="T242">
        <f>IF($C242="East",1,0)</f>
        <v>1</v>
      </c>
      <c r="U242">
        <f>66915.46892+(1.209928492*E242)+(27.33619482*F242)+(-41243.14883*G242)+(3508.399163*H242)+(3062.210286*I242)+(-3438.10791*J242)+(15157.28728*K242)+(12509.46131*L242)+(20219.25907*O242)+(32832.85351*P242)+(44695.0949*Q242)+(-15342.70531*R242)+(-4201.853217*S242)+(-25291.41891*T242)</f>
        <v>608398.43462332198</v>
      </c>
      <c r="V242">
        <f>M242-U242</f>
        <v>26782.915376677993</v>
      </c>
      <c r="W242">
        <f>V242^2</f>
        <v>717324556.07429445</v>
      </c>
    </row>
    <row r="243" spans="1:23">
      <c r="A243" t="s">
        <v>100</v>
      </c>
      <c r="B243" s="2">
        <v>45658</v>
      </c>
      <c r="C243" t="s">
        <v>20</v>
      </c>
      <c r="D243" t="s">
        <v>16</v>
      </c>
      <c r="E243">
        <v>78967.520000000004</v>
      </c>
      <c r="F243">
        <v>6164</v>
      </c>
      <c r="G243">
        <v>2.1000000000000001E-2</v>
      </c>
      <c r="H243">
        <v>16</v>
      </c>
      <c r="I243">
        <v>85.5</v>
      </c>
      <c r="J243">
        <v>0.2</v>
      </c>
      <c r="K243">
        <v>0</v>
      </c>
      <c r="L243">
        <v>3.4</v>
      </c>
      <c r="M243">
        <v>702052.47</v>
      </c>
      <c r="N243">
        <v>121732.51</v>
      </c>
      <c r="O243">
        <f>IF($D243="High Street",1,0)</f>
        <v>0</v>
      </c>
      <c r="P243">
        <f>IF($D243="Mall",1,0)</f>
        <v>0</v>
      </c>
      <c r="Q243">
        <f>IF($D243="Airport",1,0)</f>
        <v>0</v>
      </c>
      <c r="R243">
        <f>IF($C243="North",1,0)</f>
        <v>1</v>
      </c>
      <c r="S243">
        <f>IF($C243="South",1,0)</f>
        <v>0</v>
      </c>
      <c r="T243">
        <f>IF($C243="East",1,0)</f>
        <v>0</v>
      </c>
      <c r="U243">
        <f>66915.46892+(1.209928492*E243)+(27.33619482*F243)+(-41243.14883*G243)+(3508.399163*H243)+(3062.210286*I243)+(-3438.10791*J243)+(15157.28728*K243)+(12509.46131*L243)+(20219.25907*O243)+(32832.85351*P243)+(44695.0949*Q243)+(-15342.70531*R243)+(-4201.853217*S243)+(-25291.41891*T243)</f>
        <v>674549.92767862987</v>
      </c>
      <c r="V243">
        <f>M243-U243</f>
        <v>27502.5423213701</v>
      </c>
      <c r="W243">
        <f>V243^2</f>
        <v>756389834.13875341</v>
      </c>
    </row>
    <row r="244" spans="1:23">
      <c r="A244" t="s">
        <v>39</v>
      </c>
      <c r="B244" s="2">
        <v>45717</v>
      </c>
      <c r="C244" t="s">
        <v>15</v>
      </c>
      <c r="D244" t="s">
        <v>18</v>
      </c>
      <c r="E244">
        <v>60571.82</v>
      </c>
      <c r="F244">
        <v>3193</v>
      </c>
      <c r="G244">
        <v>0.19700000000000001</v>
      </c>
      <c r="H244">
        <v>7</v>
      </c>
      <c r="I244">
        <v>99</v>
      </c>
      <c r="J244">
        <v>1.43</v>
      </c>
      <c r="K244">
        <v>0</v>
      </c>
      <c r="L244">
        <v>3.2</v>
      </c>
      <c r="M244">
        <v>605023.87</v>
      </c>
      <c r="N244">
        <v>98545.81</v>
      </c>
      <c r="O244">
        <f>IF($D244="High Street",1,0)</f>
        <v>1</v>
      </c>
      <c r="P244">
        <f>IF($D244="Mall",1,0)</f>
        <v>0</v>
      </c>
      <c r="Q244">
        <f>IF($D244="Airport",1,0)</f>
        <v>0</v>
      </c>
      <c r="R244">
        <f>IF($C244="North",1,0)</f>
        <v>0</v>
      </c>
      <c r="S244">
        <f>IF($C244="South",1,0)</f>
        <v>0</v>
      </c>
      <c r="T244">
        <f>IF($C244="East",1,0)</f>
        <v>1</v>
      </c>
      <c r="U244">
        <f>66915.46892+(1.209928492*E244)+(27.33619482*F244)+(-41243.14883*G244)+(3508.399163*H244)+(3062.210286*I244)+(-3438.10791*J244)+(15157.28728*K244)+(12509.46131*L244)+(20219.25907*O244)+(32832.85351*P244)+(44695.0949*Q244)+(-15342.70531*R244)+(-4201.853217*S244)+(-25291.41891*T244)</f>
        <v>577121.84398674546</v>
      </c>
      <c r="V244">
        <f>M244-U244</f>
        <v>27902.026013254537</v>
      </c>
      <c r="W244">
        <f>V244^2</f>
        <v>778523055.64433289</v>
      </c>
    </row>
    <row r="245" spans="1:23">
      <c r="A245" t="s">
        <v>74</v>
      </c>
      <c r="B245" s="2">
        <v>45748</v>
      </c>
      <c r="C245" t="s">
        <v>15</v>
      </c>
      <c r="D245" t="s">
        <v>18</v>
      </c>
      <c r="E245">
        <v>49405.75</v>
      </c>
      <c r="F245">
        <v>9752</v>
      </c>
      <c r="G245">
        <v>9.2999999999999999E-2</v>
      </c>
      <c r="H245">
        <v>21</v>
      </c>
      <c r="I245">
        <v>87</v>
      </c>
      <c r="J245">
        <v>12.28</v>
      </c>
      <c r="K245">
        <v>0</v>
      </c>
      <c r="L245">
        <v>4.0999999999999996</v>
      </c>
      <c r="M245">
        <v>761963.23</v>
      </c>
      <c r="N245">
        <v>150113.60999999999</v>
      </c>
      <c r="O245">
        <f>IF($D245="High Street",1,0)</f>
        <v>1</v>
      </c>
      <c r="P245">
        <f>IF($D245="Mall",1,0)</f>
        <v>0</v>
      </c>
      <c r="Q245">
        <f>IF($D245="Airport",1,0)</f>
        <v>0</v>
      </c>
      <c r="R245">
        <f>IF($C245="North",1,0)</f>
        <v>0</v>
      </c>
      <c r="S245">
        <f>IF($C245="South",1,0)</f>
        <v>0</v>
      </c>
      <c r="T245">
        <f>IF($C245="East",1,0)</f>
        <v>1</v>
      </c>
      <c r="U245">
        <f>66915.46892+(1.209928492*E245)+(27.33619482*F245)+(-41243.14883*G245)+(3508.399163*H245)+(3062.210286*I245)+(-3438.10791*J245)+(15157.28728*K245)+(12509.46131*L245)+(20219.25907*O245)+(32832.85351*P245)+(44695.0949*Q245)+(-15342.70531*R245)+(-4201.853217*S245)+(-25291.41891*T245)</f>
        <v>733525.19625827903</v>
      </c>
      <c r="V245">
        <f>M245-U245</f>
        <v>28438.033741720952</v>
      </c>
      <c r="W245">
        <f>V245^2</f>
        <v>808721763.09525943</v>
      </c>
    </row>
    <row r="246" spans="1:23">
      <c r="A246" t="s">
        <v>88</v>
      </c>
      <c r="B246" s="2">
        <v>45689</v>
      </c>
      <c r="C246" t="s">
        <v>15</v>
      </c>
      <c r="D246" t="s">
        <v>18</v>
      </c>
      <c r="E246">
        <v>73454.539999999994</v>
      </c>
      <c r="F246">
        <v>8129</v>
      </c>
      <c r="G246">
        <v>0.21099999999999999</v>
      </c>
      <c r="H246">
        <v>20</v>
      </c>
      <c r="I246">
        <v>85.2</v>
      </c>
      <c r="J246">
        <v>0.88</v>
      </c>
      <c r="K246">
        <v>0</v>
      </c>
      <c r="L246">
        <v>3.7</v>
      </c>
      <c r="M246">
        <v>767792.94</v>
      </c>
      <c r="N246">
        <v>96235.77</v>
      </c>
      <c r="O246">
        <f>IF($D246="High Street",1,0)</f>
        <v>1</v>
      </c>
      <c r="P246">
        <f>IF($D246="Mall",1,0)</f>
        <v>0</v>
      </c>
      <c r="Q246">
        <f>IF($D246="Airport",1,0)</f>
        <v>0</v>
      </c>
      <c r="R246">
        <f>IF($C246="North",1,0)</f>
        <v>0</v>
      </c>
      <c r="S246">
        <f>IF($C246="South",1,0)</f>
        <v>0</v>
      </c>
      <c r="T246">
        <f>IF($C246="East",1,0)</f>
        <v>1</v>
      </c>
      <c r="U246">
        <f>66915.46892+(1.209928492*E246)+(27.33619482*F246)+(-41243.14883*G246)+(3508.399163*H246)+(3062.210286*I246)+(-3438.10791*J246)+(15157.28728*K246)+(12509.46131*L246)+(20219.25907*O246)+(32832.85351*P246)+(44695.0949*Q246)+(-15342.70531*R246)+(-4201.853217*S246)+(-25291.41891*T246)</f>
        <v>738559.44469480379</v>
      </c>
      <c r="V246">
        <f>M246-U246</f>
        <v>29233.495305196149</v>
      </c>
      <c r="W246">
        <f>V246^2</f>
        <v>854597247.75892532</v>
      </c>
    </row>
    <row r="247" spans="1:23">
      <c r="A247" t="s">
        <v>34</v>
      </c>
      <c r="B247" s="2">
        <v>45748</v>
      </c>
      <c r="C247" t="s">
        <v>20</v>
      </c>
      <c r="D247" t="s">
        <v>28</v>
      </c>
      <c r="E247">
        <v>65312.49</v>
      </c>
      <c r="F247">
        <v>7189</v>
      </c>
      <c r="G247">
        <v>0.05</v>
      </c>
      <c r="H247">
        <v>19</v>
      </c>
      <c r="I247">
        <v>93.7</v>
      </c>
      <c r="J247">
        <v>7.16</v>
      </c>
      <c r="K247">
        <v>0</v>
      </c>
      <c r="L247">
        <v>4.5999999999999996</v>
      </c>
      <c r="M247">
        <v>773815.14</v>
      </c>
      <c r="N247">
        <v>133948.39000000001</v>
      </c>
      <c r="O247">
        <f>IF($D247="High Street",1,0)</f>
        <v>0</v>
      </c>
      <c r="P247">
        <f>IF($D247="Mall",1,0)</f>
        <v>1</v>
      </c>
      <c r="Q247">
        <f>IF($D247="Airport",1,0)</f>
        <v>0</v>
      </c>
      <c r="R247">
        <f>IF($C247="North",1,0)</f>
        <v>1</v>
      </c>
      <c r="S247">
        <f>IF($C247="South",1,0)</f>
        <v>0</v>
      </c>
      <c r="T247">
        <f>IF($C247="East",1,0)</f>
        <v>0</v>
      </c>
      <c r="U247">
        <f>66915.46892+(1.209928492*E247)+(27.33619482*F247)+(-41243.14883*G247)+(3508.399163*H247)+(3062.210286*I247)+(-3438.10791*J247)+(15157.28728*K247)+(12509.46131*L247)+(20219.25907*O247)+(32832.85351*P247)+(44695.0949*Q247)+(-15342.70531*R247)+(-4201.853217*S247)+(-25291.41891*T247)</f>
        <v>744402.16405954503</v>
      </c>
      <c r="V247">
        <f>M247-U247</f>
        <v>29412.975940454984</v>
      </c>
      <c r="W247">
        <f>V247^2</f>
        <v>865123153.67378378</v>
      </c>
    </row>
    <row r="248" spans="1:23">
      <c r="A248" t="s">
        <v>68</v>
      </c>
      <c r="B248" s="2">
        <v>45689</v>
      </c>
      <c r="C248" t="s">
        <v>20</v>
      </c>
      <c r="D248" t="s">
        <v>18</v>
      </c>
      <c r="E248">
        <v>57147.88</v>
      </c>
      <c r="F248">
        <v>5252</v>
      </c>
      <c r="G248">
        <v>0.161</v>
      </c>
      <c r="H248">
        <v>15</v>
      </c>
      <c r="I248">
        <v>95.5</v>
      </c>
      <c r="J248">
        <v>8.51</v>
      </c>
      <c r="K248">
        <v>0</v>
      </c>
      <c r="L248">
        <v>4.4000000000000004</v>
      </c>
      <c r="M248">
        <v>678311.17</v>
      </c>
      <c r="N248">
        <v>132029.76000000001</v>
      </c>
      <c r="O248">
        <f>IF($D248="High Street",1,0)</f>
        <v>1</v>
      </c>
      <c r="P248">
        <f>IF($D248="Mall",1,0)</f>
        <v>0</v>
      </c>
      <c r="Q248">
        <f>IF($D248="Airport",1,0)</f>
        <v>0</v>
      </c>
      <c r="R248">
        <f>IF($C248="North",1,0)</f>
        <v>1</v>
      </c>
      <c r="S248">
        <f>IF($C248="South",1,0)</f>
        <v>0</v>
      </c>
      <c r="T248">
        <f>IF($C248="East",1,0)</f>
        <v>0</v>
      </c>
      <c r="U248">
        <f>66915.46892+(1.209928492*E248)+(27.33619482*F248)+(-41243.14883*G248)+(3508.399163*H248)+(3062.210286*I248)+(-3438.10791*J248)+(15157.28728*K248)+(12509.46131*L248)+(20219.25907*O248)+(32832.85351*P248)+(44695.0949*Q248)+(-15342.70531*R248)+(-4201.853217*S248)+(-25291.41891*T248)</f>
        <v>648716.82039030688</v>
      </c>
      <c r="V248">
        <f>M248-U248</f>
        <v>29594.349609693163</v>
      </c>
      <c r="W248">
        <f>V248^2</f>
        <v>875825528.82074583</v>
      </c>
    </row>
    <row r="249" spans="1:23">
      <c r="A249" t="s">
        <v>65</v>
      </c>
      <c r="B249" s="2">
        <v>45717</v>
      </c>
      <c r="C249" t="s">
        <v>15</v>
      </c>
      <c r="D249" t="s">
        <v>16</v>
      </c>
      <c r="E249">
        <v>68040.149999999994</v>
      </c>
      <c r="F249">
        <v>9826</v>
      </c>
      <c r="G249">
        <v>0.125</v>
      </c>
      <c r="H249">
        <v>20</v>
      </c>
      <c r="I249">
        <v>83.9</v>
      </c>
      <c r="J249">
        <v>9.1199999999999992</v>
      </c>
      <c r="K249">
        <v>0</v>
      </c>
      <c r="L249">
        <v>3.6</v>
      </c>
      <c r="M249">
        <v>758138.29</v>
      </c>
      <c r="N249">
        <v>132975.26</v>
      </c>
      <c r="O249">
        <f>IF($D249="High Street",1,0)</f>
        <v>0</v>
      </c>
      <c r="P249">
        <f>IF($D249="Mall",1,0)</f>
        <v>0</v>
      </c>
      <c r="Q249">
        <f>IF($D249="Airport",1,0)</f>
        <v>0</v>
      </c>
      <c r="R249">
        <f>IF($C249="North",1,0)</f>
        <v>0</v>
      </c>
      <c r="S249">
        <f>IF($C249="South",1,0)</f>
        <v>0</v>
      </c>
      <c r="T249">
        <f>IF($C249="East",1,0)</f>
        <v>1</v>
      </c>
      <c r="U249">
        <f>66915.46892+(1.209928492*E249)+(27.33619482*F249)+(-41243.14883*G249)+(3508.399163*H249)+(3062.210286*I249)+(-3438.10791*J249)+(15157.28728*K249)+(12509.46131*L249)+(20219.25907*O249)+(32832.85351*P249)+(44695.0949*Q249)+(-15342.70531*R249)+(-4201.853217*S249)+(-25291.41891*T249)</f>
        <v>728163.76562472386</v>
      </c>
      <c r="V249">
        <f>M249-U249</f>
        <v>29974.524375276174</v>
      </c>
      <c r="W249">
        <f>V249^2</f>
        <v>898472111.52402556</v>
      </c>
    </row>
    <row r="250" spans="1:23">
      <c r="A250" t="s">
        <v>35</v>
      </c>
      <c r="B250" s="2">
        <v>45689</v>
      </c>
      <c r="C250" t="s">
        <v>27</v>
      </c>
      <c r="D250" t="s">
        <v>18</v>
      </c>
      <c r="E250">
        <v>99874.01</v>
      </c>
      <c r="F250">
        <v>5887</v>
      </c>
      <c r="G250">
        <v>0.26200000000000001</v>
      </c>
      <c r="H250">
        <v>14</v>
      </c>
      <c r="I250">
        <v>88.7</v>
      </c>
      <c r="J250">
        <v>6.18</v>
      </c>
      <c r="K250">
        <v>0</v>
      </c>
      <c r="L250">
        <v>4.7</v>
      </c>
      <c r="M250">
        <v>746677.75</v>
      </c>
      <c r="N250">
        <v>122437.84</v>
      </c>
      <c r="O250">
        <f>IF($D250="High Street",1,0)</f>
        <v>1</v>
      </c>
      <c r="P250">
        <f>IF($D250="Mall",1,0)</f>
        <v>0</v>
      </c>
      <c r="Q250">
        <f>IF($D250="Airport",1,0)</f>
        <v>0</v>
      </c>
      <c r="R250">
        <f>IF($C250="North",1,0)</f>
        <v>0</v>
      </c>
      <c r="S250">
        <f>IF($C250="South",1,0)</f>
        <v>0</v>
      </c>
      <c r="T250">
        <f>IF($C250="East",1,0)</f>
        <v>0</v>
      </c>
      <c r="U250">
        <f>66915.46892+(1.209928492*E250)+(27.33619482*F250)+(-41243.14883*G250)+(3508.399163*H250)+(3062.210286*I250)+(-3438.10791*J250)+(15157.28728*K250)+(12509.46131*L250)+(20219.25907*O250)+(32832.85351*P250)+(44695.0949*Q250)+(-15342.70531*R250)+(-4201.853217*S250)+(-25291.41891*T250)</f>
        <v>716380.21413457301</v>
      </c>
      <c r="V250">
        <f>M250-U250</f>
        <v>30297.535865426995</v>
      </c>
      <c r="W250">
        <f>V250^2</f>
        <v>917940679.51683509</v>
      </c>
    </row>
    <row r="251" spans="1:23">
      <c r="A251" t="s">
        <v>57</v>
      </c>
      <c r="B251" s="2">
        <v>45658</v>
      </c>
      <c r="C251" t="s">
        <v>27</v>
      </c>
      <c r="D251" t="s">
        <v>18</v>
      </c>
      <c r="E251">
        <v>51430.31</v>
      </c>
      <c r="F251">
        <v>6427</v>
      </c>
      <c r="G251">
        <v>0.23400000000000001</v>
      </c>
      <c r="H251">
        <v>14</v>
      </c>
      <c r="I251">
        <v>88.8</v>
      </c>
      <c r="J251">
        <v>0.77</v>
      </c>
      <c r="K251">
        <v>0</v>
      </c>
      <c r="L251">
        <v>4.0999999999999996</v>
      </c>
      <c r="M251">
        <v>715890.53</v>
      </c>
      <c r="N251">
        <v>109032.15</v>
      </c>
      <c r="O251">
        <f>IF($D251="High Street",1,0)</f>
        <v>1</v>
      </c>
      <c r="P251">
        <f>IF($D251="Mall",1,0)</f>
        <v>0</v>
      </c>
      <c r="Q251">
        <f>IF($D251="Airport",1,0)</f>
        <v>0</v>
      </c>
      <c r="R251">
        <f>IF($C251="North",1,0)</f>
        <v>0</v>
      </c>
      <c r="S251">
        <f>IF($C251="South",1,0)</f>
        <v>0</v>
      </c>
      <c r="T251">
        <f>IF($C251="East",1,0)</f>
        <v>0</v>
      </c>
      <c r="U251">
        <f>66915.46892+(1.209928492*E251)+(27.33619482*F251)+(-41243.14883*G251)+(3508.399163*H251)+(3062.210286*I251)+(-3438.10791*J251)+(15157.28728*K251)+(12509.46131*L251)+(20219.25907*O251)+(32832.85351*P251)+(44695.0949*Q251)+(-15342.70531*R251)+(-4201.853217*S251)+(-25291.41891*T251)</f>
        <v>685083.8626524125</v>
      </c>
      <c r="V251">
        <f>M251-U251</f>
        <v>30806.667347587529</v>
      </c>
      <c r="W251">
        <f>V251^2</f>
        <v>949050753.06491566</v>
      </c>
    </row>
    <row r="252" spans="1:23">
      <c r="A252" t="s">
        <v>37</v>
      </c>
      <c r="B252" s="2">
        <v>45748</v>
      </c>
      <c r="C252" t="s">
        <v>24</v>
      </c>
      <c r="D252" t="s">
        <v>18</v>
      </c>
      <c r="E252">
        <v>74954.47</v>
      </c>
      <c r="F252">
        <v>6620</v>
      </c>
      <c r="G252">
        <v>5.3999999999999999E-2</v>
      </c>
      <c r="H252">
        <v>17</v>
      </c>
      <c r="I252">
        <v>91.1</v>
      </c>
      <c r="J252">
        <v>1.1100000000000001</v>
      </c>
      <c r="K252">
        <v>0</v>
      </c>
      <c r="L252">
        <v>3.5</v>
      </c>
      <c r="M252">
        <v>761860.19</v>
      </c>
      <c r="N252">
        <v>133279.38</v>
      </c>
      <c r="O252">
        <f>IF($D252="High Street",1,0)</f>
        <v>1</v>
      </c>
      <c r="P252">
        <f>IF($D252="Mall",1,0)</f>
        <v>0</v>
      </c>
      <c r="Q252">
        <f>IF($D252="Airport",1,0)</f>
        <v>0</v>
      </c>
      <c r="R252">
        <f>IF($C252="North",1,0)</f>
        <v>0</v>
      </c>
      <c r="S252">
        <f>IF($C252="South",1,0)</f>
        <v>1</v>
      </c>
      <c r="T252">
        <f>IF($C252="East",1,0)</f>
        <v>0</v>
      </c>
      <c r="U252">
        <f>66915.46892+(1.209928492*E252)+(27.33619482*F252)+(-41243.14883*G252)+(3508.399163*H252)+(3062.210286*I252)+(-3438.10791*J252)+(15157.28728*K252)+(12509.46131*L252)+(20219.25907*O252)+(32832.85351*P252)+(44695.0949*Q252)+(-15342.70531*R252)+(-4201.853217*S252)+(-25291.41891*T252)</f>
        <v>730937.86093083909</v>
      </c>
      <c r="V252">
        <f>M252-U252</f>
        <v>30922.329069160856</v>
      </c>
      <c r="W252">
        <f>V252^2</f>
        <v>956190435.06147051</v>
      </c>
    </row>
    <row r="253" spans="1:23">
      <c r="A253" t="s">
        <v>80</v>
      </c>
      <c r="B253" s="2">
        <v>45658</v>
      </c>
      <c r="C253" t="s">
        <v>27</v>
      </c>
      <c r="D253" t="s">
        <v>16</v>
      </c>
      <c r="E253">
        <v>47241.919999999998</v>
      </c>
      <c r="F253">
        <v>4264</v>
      </c>
      <c r="G253">
        <v>6.9000000000000006E-2</v>
      </c>
      <c r="H253">
        <v>13</v>
      </c>
      <c r="I253">
        <v>95.3</v>
      </c>
      <c r="J253">
        <v>0.85</v>
      </c>
      <c r="K253">
        <v>0</v>
      </c>
      <c r="L253">
        <v>4.3</v>
      </c>
      <c r="M253">
        <v>658072.14</v>
      </c>
      <c r="N253">
        <v>110595.89</v>
      </c>
      <c r="O253">
        <f>IF($D253="High Street",1,0)</f>
        <v>0</v>
      </c>
      <c r="P253">
        <f>IF($D253="Mall",1,0)</f>
        <v>0</v>
      </c>
      <c r="Q253">
        <f>IF($D253="Airport",1,0)</f>
        <v>0</v>
      </c>
      <c r="R253">
        <f>IF($C253="North",1,0)</f>
        <v>0</v>
      </c>
      <c r="S253">
        <f>IF($C253="South",1,0)</f>
        <v>0</v>
      </c>
      <c r="T253">
        <f>IF($C253="East",1,0)</f>
        <v>0</v>
      </c>
      <c r="U253">
        <f>66915.46892+(1.209928492*E253)+(27.33619482*F253)+(-41243.14883*G253)+(3508.399163*H253)+(3062.210286*I253)+(-3438.10791*J253)+(15157.28728*K253)+(12509.46131*L253)+(20219.25907*O253)+(32832.85351*P253)+(44695.0949*Q253)+(-15342.70531*R253)+(-4201.853217*S253)+(-25291.41891*T253)</f>
        <v>626096.69267229456</v>
      </c>
      <c r="V253">
        <f>M253-U253</f>
        <v>31975.447327705449</v>
      </c>
      <c r="W253">
        <f>V253^2</f>
        <v>1022429231.8068656</v>
      </c>
    </row>
    <row r="254" spans="1:23">
      <c r="A254" t="s">
        <v>33</v>
      </c>
      <c r="B254" s="2">
        <v>45748</v>
      </c>
      <c r="C254" t="s">
        <v>27</v>
      </c>
      <c r="D254" t="s">
        <v>16</v>
      </c>
      <c r="E254">
        <v>42093.84</v>
      </c>
      <c r="F254">
        <v>4074</v>
      </c>
      <c r="G254">
        <v>0.155</v>
      </c>
      <c r="H254">
        <v>15</v>
      </c>
      <c r="I254">
        <v>88</v>
      </c>
      <c r="J254">
        <v>9.64</v>
      </c>
      <c r="K254">
        <v>0</v>
      </c>
      <c r="L254">
        <v>3.3</v>
      </c>
      <c r="M254">
        <v>585365.73</v>
      </c>
      <c r="N254">
        <v>81011.520000000004</v>
      </c>
      <c r="O254">
        <f>IF($D254="High Street",1,0)</f>
        <v>0</v>
      </c>
      <c r="P254">
        <f>IF($D254="Mall",1,0)</f>
        <v>0</v>
      </c>
      <c r="Q254">
        <f>IF($D254="Airport",1,0)</f>
        <v>0</v>
      </c>
      <c r="R254">
        <f>IF($C254="North",1,0)</f>
        <v>0</v>
      </c>
      <c r="S254">
        <f>IF($C254="South",1,0)</f>
        <v>0</v>
      </c>
      <c r="T254">
        <f>IF($C254="East",1,0)</f>
        <v>0</v>
      </c>
      <c r="U254">
        <f>66915.46892+(1.209928492*E254)+(27.33619482*F254)+(-41243.14883*G254)+(3508.399163*H254)+(3062.210286*I254)+(-3438.10791*J254)+(15157.28728*K254)+(12509.46131*L254)+(20219.25907*O254)+(32832.85351*P254)+(44695.0949*Q254)+(-15342.70531*R254)+(-4201.853217*S254)+(-25291.41891*T254)</f>
        <v>553059.32958531938</v>
      </c>
      <c r="V254">
        <f>M254-U254</f>
        <v>32306.400414680596</v>
      </c>
      <c r="W254">
        <f>V254^2</f>
        <v>1043703507.7536746</v>
      </c>
    </row>
    <row r="255" spans="1:23">
      <c r="A255" t="s">
        <v>49</v>
      </c>
      <c r="B255" s="2">
        <v>45689</v>
      </c>
      <c r="C255" t="s">
        <v>15</v>
      </c>
      <c r="D255" t="s">
        <v>28</v>
      </c>
      <c r="E255">
        <v>69411.7</v>
      </c>
      <c r="F255">
        <v>5493</v>
      </c>
      <c r="G255">
        <v>0.29199999999999998</v>
      </c>
      <c r="H255">
        <v>13</v>
      </c>
      <c r="I255">
        <v>86.5</v>
      </c>
      <c r="J255">
        <v>6.69</v>
      </c>
      <c r="K255">
        <v>0</v>
      </c>
      <c r="L255">
        <v>3.8</v>
      </c>
      <c r="M255">
        <v>664162.49</v>
      </c>
      <c r="N255">
        <v>98291.06</v>
      </c>
      <c r="O255">
        <f>IF($D255="High Street",1,0)</f>
        <v>0</v>
      </c>
      <c r="P255">
        <f>IF($D255="Mall",1,0)</f>
        <v>1</v>
      </c>
      <c r="Q255">
        <f>IF($D255="Airport",1,0)</f>
        <v>0</v>
      </c>
      <c r="R255">
        <f>IF($C255="North",1,0)</f>
        <v>0</v>
      </c>
      <c r="S255">
        <f>IF($C255="South",1,0)</f>
        <v>0</v>
      </c>
      <c r="T255">
        <f>IF($C255="East",1,0)</f>
        <v>1</v>
      </c>
      <c r="U255">
        <f>66915.46892+(1.209928492*E255)+(27.33619482*F255)+(-41243.14883*G255)+(3508.399163*H255)+(3062.210286*I255)+(-3438.10791*J255)+(15157.28728*K255)+(12509.46131*L255)+(20219.25907*O255)+(32832.85351*P255)+(44695.0949*Q255)+(-15342.70531*R255)+(-4201.853217*S255)+(-25291.41891*T255)</f>
        <v>631580.20563415647</v>
      </c>
      <c r="V255">
        <f>M255-U255</f>
        <v>32582.284365843516</v>
      </c>
      <c r="W255">
        <f>V255^2</f>
        <v>1061605254.4966908</v>
      </c>
    </row>
    <row r="256" spans="1:23">
      <c r="A256" t="s">
        <v>32</v>
      </c>
      <c r="B256" s="2">
        <v>45717</v>
      </c>
      <c r="C256" t="s">
        <v>15</v>
      </c>
      <c r="D256" t="s">
        <v>28</v>
      </c>
      <c r="E256">
        <v>68077.539999999994</v>
      </c>
      <c r="F256">
        <v>3360</v>
      </c>
      <c r="G256">
        <v>0.128</v>
      </c>
      <c r="H256">
        <v>14</v>
      </c>
      <c r="I256">
        <v>88.2</v>
      </c>
      <c r="J256">
        <v>1.24</v>
      </c>
      <c r="K256">
        <v>1</v>
      </c>
      <c r="L256">
        <v>4</v>
      </c>
      <c r="M256">
        <v>657429.18000000005</v>
      </c>
      <c r="N256">
        <v>88919.74</v>
      </c>
      <c r="O256">
        <f>IF($D256="High Street",1,0)</f>
        <v>0</v>
      </c>
      <c r="P256">
        <f>IF($D256="Mall",1,0)</f>
        <v>1</v>
      </c>
      <c r="Q256">
        <f>IF($D256="Airport",1,0)</f>
        <v>0</v>
      </c>
      <c r="R256">
        <f>IF($C256="North",1,0)</f>
        <v>0</v>
      </c>
      <c r="S256">
        <f>IF($C256="South",1,0)</f>
        <v>0</v>
      </c>
      <c r="T256">
        <f>IF($C256="East",1,0)</f>
        <v>1</v>
      </c>
      <c r="U256">
        <f>66915.46892+(1.209928492*E256)+(27.33619482*F256)+(-41243.14883*G256)+(3508.399163*H256)+(3062.210286*I256)+(-3438.10791*J256)+(15157.28728*K256)+(12509.46131*L256)+(20219.25907*O256)+(32832.85351*P256)+(44695.0949*Q256)+(-15342.70531*R256)+(-4201.853217*S256)+(-25291.41891*T256)</f>
        <v>623532.76459502988</v>
      </c>
      <c r="V256">
        <f>M256-U256</f>
        <v>33896.415404970176</v>
      </c>
      <c r="W256">
        <f>V256^2</f>
        <v>1148966977.3062994</v>
      </c>
    </row>
    <row r="257" spans="1:23">
      <c r="A257" t="s">
        <v>68</v>
      </c>
      <c r="B257" s="2">
        <v>45748</v>
      </c>
      <c r="C257" t="s">
        <v>20</v>
      </c>
      <c r="D257" t="s">
        <v>18</v>
      </c>
      <c r="E257">
        <v>72784.800000000003</v>
      </c>
      <c r="F257">
        <v>7932</v>
      </c>
      <c r="G257">
        <v>9.4E-2</v>
      </c>
      <c r="H257">
        <v>20</v>
      </c>
      <c r="I257">
        <v>74.900000000000006</v>
      </c>
      <c r="J257">
        <v>13.62</v>
      </c>
      <c r="K257">
        <v>0</v>
      </c>
      <c r="L257">
        <v>4.2</v>
      </c>
      <c r="M257">
        <v>712546.38</v>
      </c>
      <c r="N257">
        <v>101480.04</v>
      </c>
      <c r="O257">
        <f>IF($D257="High Street",1,0)</f>
        <v>1</v>
      </c>
      <c r="P257">
        <f>IF($D257="Mall",1,0)</f>
        <v>0</v>
      </c>
      <c r="Q257">
        <f>IF($D257="Airport",1,0)</f>
        <v>0</v>
      </c>
      <c r="R257">
        <f>IF($C257="North",1,0)</f>
        <v>1</v>
      </c>
      <c r="S257">
        <f>IF($C257="South",1,0)</f>
        <v>0</v>
      </c>
      <c r="T257">
        <f>IF($C257="East",1,0)</f>
        <v>0</v>
      </c>
      <c r="U257">
        <f>66915.46892+(1.209928492*E257)+(27.33619482*F257)+(-41243.14883*G257)+(3508.399163*H257)+(3062.210286*I257)+(-3438.10791*J257)+(15157.28728*K257)+(12509.46131*L257)+(20219.25907*O257)+(32832.85351*P257)+(44695.0949*Q257)+(-15342.70531*R257)+(-4201.853217*S257)+(-25291.41891*T257)</f>
        <v>678050.50875594164</v>
      </c>
      <c r="V257">
        <f>M257-U257</f>
        <v>34495.871244058362</v>
      </c>
      <c r="W257">
        <f>V257^2</f>
        <v>1189965132.8866527</v>
      </c>
    </row>
    <row r="258" spans="1:23">
      <c r="A258" t="s">
        <v>37</v>
      </c>
      <c r="B258" s="2">
        <v>45689</v>
      </c>
      <c r="C258" t="s">
        <v>24</v>
      </c>
      <c r="D258" t="s">
        <v>18</v>
      </c>
      <c r="E258">
        <v>37284.660000000003</v>
      </c>
      <c r="F258">
        <v>3928</v>
      </c>
      <c r="G258">
        <v>7.3999999999999996E-2</v>
      </c>
      <c r="H258">
        <v>12</v>
      </c>
      <c r="I258">
        <v>86.5</v>
      </c>
      <c r="J258">
        <v>1.64</v>
      </c>
      <c r="K258">
        <v>0</v>
      </c>
      <c r="L258">
        <v>3.8</v>
      </c>
      <c r="M258">
        <v>615966.48</v>
      </c>
      <c r="N258">
        <v>91509.38</v>
      </c>
      <c r="O258">
        <f>IF($D258="High Street",1,0)</f>
        <v>1</v>
      </c>
      <c r="P258">
        <f>IF($D258="Mall",1,0)</f>
        <v>0</v>
      </c>
      <c r="Q258">
        <f>IF($D258="Airport",1,0)</f>
        <v>0</v>
      </c>
      <c r="R258">
        <f>IF($C258="North",1,0)</f>
        <v>0</v>
      </c>
      <c r="S258">
        <f>IF($C258="South",1,0)</f>
        <v>1</v>
      </c>
      <c r="T258">
        <f>IF($C258="East",1,0)</f>
        <v>0</v>
      </c>
      <c r="U258">
        <f>66915.46892+(1.209928492*E258)+(27.33619482*F258)+(-41243.14883*G258)+(3508.399163*H258)+(3062.210286*I258)+(-3438.10791*J258)+(15157.28728*K258)+(12509.46131*L258)+(20219.25907*O258)+(32832.85351*P258)+(44695.0949*Q258)+(-15342.70531*R258)+(-4201.853217*S258)+(-25291.41891*T258)</f>
        <v>581248.66316167277</v>
      </c>
      <c r="V258">
        <f>M258-U258</f>
        <v>34717.816838327213</v>
      </c>
      <c r="W258">
        <f>V258^2</f>
        <v>1205326806.0196366</v>
      </c>
    </row>
    <row r="259" spans="1:23">
      <c r="A259" t="s">
        <v>78</v>
      </c>
      <c r="B259" s="2">
        <v>45748</v>
      </c>
      <c r="C259" t="s">
        <v>15</v>
      </c>
      <c r="D259" t="s">
        <v>28</v>
      </c>
      <c r="E259">
        <v>39341.449999999997</v>
      </c>
      <c r="F259">
        <v>1375</v>
      </c>
      <c r="G259">
        <v>9.2999999999999999E-2</v>
      </c>
      <c r="H259">
        <v>5</v>
      </c>
      <c r="I259">
        <v>95</v>
      </c>
      <c r="J259">
        <v>5.32</v>
      </c>
      <c r="K259">
        <v>0</v>
      </c>
      <c r="L259">
        <v>3.9</v>
      </c>
      <c r="M259">
        <v>529598.93999999994</v>
      </c>
      <c r="N259">
        <v>84334.33</v>
      </c>
      <c r="O259">
        <f>IF($D259="High Street",1,0)</f>
        <v>0</v>
      </c>
      <c r="P259">
        <f>IF($D259="Mall",1,0)</f>
        <v>1</v>
      </c>
      <c r="Q259">
        <f>IF($D259="Airport",1,0)</f>
        <v>0</v>
      </c>
      <c r="R259">
        <f>IF($C259="North",1,0)</f>
        <v>0</v>
      </c>
      <c r="S259">
        <f>IF($C259="South",1,0)</f>
        <v>0</v>
      </c>
      <c r="T259">
        <f>IF($C259="East",1,0)</f>
        <v>1</v>
      </c>
      <c r="U259">
        <f>66915.46892+(1.209928492*E259)+(27.33619482*F259)+(-41243.14883*G259)+(3508.399163*H259)+(3062.210286*I259)+(-3438.10791*J259)+(15157.28728*K259)+(12509.46131*L259)+(20219.25907*O259)+(32832.85351*P259)+(44695.0949*Q259)+(-15342.70531*R259)+(-4201.853217*S259)+(-25291.41891*T259)</f>
        <v>494757.03784070344</v>
      </c>
      <c r="V259">
        <f>M259-U259</f>
        <v>34841.9021592965</v>
      </c>
      <c r="W259">
        <f>V259^2</f>
        <v>1213958146.0779901</v>
      </c>
    </row>
    <row r="260" spans="1:23">
      <c r="A260" t="s">
        <v>42</v>
      </c>
      <c r="B260" s="2">
        <v>45689</v>
      </c>
      <c r="C260" t="s">
        <v>27</v>
      </c>
      <c r="D260" t="s">
        <v>28</v>
      </c>
      <c r="E260">
        <v>60628.38</v>
      </c>
      <c r="F260">
        <v>4451</v>
      </c>
      <c r="G260">
        <v>9.5000000000000001E-2</v>
      </c>
      <c r="H260">
        <v>10</v>
      </c>
      <c r="I260">
        <v>89.6</v>
      </c>
      <c r="J260">
        <v>3.17</v>
      </c>
      <c r="K260">
        <v>0</v>
      </c>
      <c r="L260">
        <v>4.5999999999999996</v>
      </c>
      <c r="M260">
        <v>682208.01</v>
      </c>
      <c r="N260">
        <v>110318.84</v>
      </c>
      <c r="O260">
        <f>IF($D260="High Street",1,0)</f>
        <v>0</v>
      </c>
      <c r="P260">
        <f>IF($D260="Mall",1,0)</f>
        <v>1</v>
      </c>
      <c r="Q260">
        <f>IF($D260="Airport",1,0)</f>
        <v>0</v>
      </c>
      <c r="R260">
        <f>IF($C260="North",1,0)</f>
        <v>0</v>
      </c>
      <c r="S260">
        <f>IF($C260="South",1,0)</f>
        <v>0</v>
      </c>
      <c r="T260">
        <f>IF($C260="East",1,0)</f>
        <v>0</v>
      </c>
      <c r="U260">
        <f>66915.46892+(1.209928492*E260)+(27.33619482*F260)+(-41243.14883*G260)+(3508.399163*H260)+(3062.210286*I260)+(-3438.10791*J260)+(15157.28728*K260)+(12509.46131*L260)+(20219.25907*O260)+(32832.85351*P260)+(44695.0949*Q260)+(-15342.70531*R260)+(-4201.853217*S260)+(-25291.41891*T260)</f>
        <v>646962.38402767293</v>
      </c>
      <c r="V260">
        <f>M260-U260</f>
        <v>35245.625972327078</v>
      </c>
      <c r="W260">
        <f>V260^2</f>
        <v>1242254150.1811771</v>
      </c>
    </row>
    <row r="261" spans="1:23">
      <c r="A261" t="s">
        <v>48</v>
      </c>
      <c r="B261" s="2">
        <v>45748</v>
      </c>
      <c r="C261" t="s">
        <v>27</v>
      </c>
      <c r="D261" t="s">
        <v>18</v>
      </c>
      <c r="E261">
        <v>31042.03</v>
      </c>
      <c r="F261">
        <v>7107</v>
      </c>
      <c r="G261">
        <v>5.0999999999999997E-2</v>
      </c>
      <c r="H261">
        <v>15</v>
      </c>
      <c r="I261">
        <v>87</v>
      </c>
      <c r="J261">
        <v>13.33</v>
      </c>
      <c r="K261">
        <v>0</v>
      </c>
      <c r="L261">
        <v>3.2</v>
      </c>
      <c r="M261">
        <v>665594.93999999994</v>
      </c>
      <c r="N261">
        <v>127597.34</v>
      </c>
      <c r="O261">
        <f>IF($D261="High Street",1,0)</f>
        <v>1</v>
      </c>
      <c r="P261">
        <f>IF($D261="Mall",1,0)</f>
        <v>0</v>
      </c>
      <c r="Q261">
        <f>IF($D261="Airport",1,0)</f>
        <v>0</v>
      </c>
      <c r="R261">
        <f>IF($C261="North",1,0)</f>
        <v>0</v>
      </c>
      <c r="S261">
        <f>IF($C261="South",1,0)</f>
        <v>0</v>
      </c>
      <c r="T261">
        <f>IF($C261="East",1,0)</f>
        <v>0</v>
      </c>
      <c r="U261">
        <f>66915.46892+(1.209928492*E261)+(27.33619482*F261)+(-41243.14883*G261)+(3508.399163*H261)+(3062.210286*I261)+(-3438.10791*J261)+(15157.28728*K261)+(12509.46131*L261)+(20219.25907*O261)+(32832.85351*P261)+(44695.0949*Q261)+(-15342.70531*R261)+(-4201.853217*S261)+(-25291.41891*T261)</f>
        <v>630106.88061062887</v>
      </c>
      <c r="V261">
        <f>M261-U261</f>
        <v>35488.059389371076</v>
      </c>
      <c r="W261">
        <f>V261^2</f>
        <v>1259402359.2235286</v>
      </c>
    </row>
    <row r="262" spans="1:23">
      <c r="A262" t="s">
        <v>56</v>
      </c>
      <c r="B262" s="2">
        <v>45748</v>
      </c>
      <c r="C262" t="s">
        <v>24</v>
      </c>
      <c r="D262" t="s">
        <v>16</v>
      </c>
      <c r="E262">
        <v>44211.95</v>
      </c>
      <c r="F262">
        <v>5465</v>
      </c>
      <c r="G262">
        <v>0.187</v>
      </c>
      <c r="H262">
        <v>12</v>
      </c>
      <c r="I262">
        <v>90</v>
      </c>
      <c r="J262">
        <v>2.89</v>
      </c>
      <c r="K262">
        <v>0</v>
      </c>
      <c r="L262">
        <v>3.6</v>
      </c>
      <c r="M262">
        <v>646559.71</v>
      </c>
      <c r="N262">
        <v>97981.75</v>
      </c>
      <c r="O262">
        <f>IF($D262="High Street",1,0)</f>
        <v>0</v>
      </c>
      <c r="P262">
        <f>IF($D262="Mall",1,0)</f>
        <v>0</v>
      </c>
      <c r="Q262">
        <f>IF($D262="Airport",1,0)</f>
        <v>0</v>
      </c>
      <c r="R262">
        <f>IF($C262="North",1,0)</f>
        <v>0</v>
      </c>
      <c r="S262">
        <f>IF($C262="South",1,0)</f>
        <v>1</v>
      </c>
      <c r="T262">
        <f>IF($C262="East",1,0)</f>
        <v>0</v>
      </c>
      <c r="U262">
        <f>66915.46892+(1.209928492*E262)+(27.33619482*F262)+(-41243.14883*G262)+(3508.399163*H262)+(3062.210286*I262)+(-3438.10791*J262)+(15157.28728*K262)+(12509.46131*L262)+(20219.25907*O262)+(32832.85351*P262)+(44695.0949*Q262)+(-15342.70531*R262)+(-4201.853217*S262)+(-25291.41891*T262)</f>
        <v>610684.39410706935</v>
      </c>
      <c r="V262">
        <f>M262-U262</f>
        <v>35875.315892930608</v>
      </c>
      <c r="W262">
        <f>V262^2</f>
        <v>1287038290.4175594</v>
      </c>
    </row>
    <row r="263" spans="1:23">
      <c r="A263" t="s">
        <v>91</v>
      </c>
      <c r="B263" s="2">
        <v>45689</v>
      </c>
      <c r="C263" t="s">
        <v>24</v>
      </c>
      <c r="D263" t="s">
        <v>16</v>
      </c>
      <c r="E263">
        <v>36832.33</v>
      </c>
      <c r="F263">
        <v>8001</v>
      </c>
      <c r="G263">
        <v>0</v>
      </c>
      <c r="H263">
        <v>19</v>
      </c>
      <c r="I263">
        <v>88.7</v>
      </c>
      <c r="J263">
        <v>3.39</v>
      </c>
      <c r="K263">
        <v>0</v>
      </c>
      <c r="L263">
        <v>4</v>
      </c>
      <c r="M263">
        <v>738548.42</v>
      </c>
      <c r="N263">
        <v>134282.76999999999</v>
      </c>
      <c r="O263">
        <f>IF($D263="High Street",1,0)</f>
        <v>0</v>
      </c>
      <c r="P263">
        <f>IF($D263="Mall",1,0)</f>
        <v>0</v>
      </c>
      <c r="Q263">
        <f>IF($D263="Airport",1,0)</f>
        <v>0</v>
      </c>
      <c r="R263">
        <f>IF($C263="North",1,0)</f>
        <v>0</v>
      </c>
      <c r="S263">
        <f>IF($C263="South",1,0)</f>
        <v>1</v>
      </c>
      <c r="T263">
        <f>IF($C263="East",1,0)</f>
        <v>0</v>
      </c>
      <c r="U263">
        <f>66915.46892+(1.209928492*E263)+(27.33619482*F263)+(-41243.14883*G263)+(3508.399163*H263)+(3062.210286*I263)+(-3438.10791*J263)+(15157.28728*K263)+(12509.46131*L263)+(20219.25907*O263)+(32832.85351*P263)+(44695.0949*Q263)+(-15342.70531*R263)+(-4201.853217*S263)+(-25291.41891*T263)</f>
        <v>702655.29184186656</v>
      </c>
      <c r="V263">
        <f>M263-U263</f>
        <v>35893.128158133477</v>
      </c>
      <c r="W263">
        <f>V263^2</f>
        <v>1288316648.9761944</v>
      </c>
    </row>
    <row r="264" spans="1:23">
      <c r="A264" t="s">
        <v>89</v>
      </c>
      <c r="B264" s="2">
        <v>45689</v>
      </c>
      <c r="C264" t="s">
        <v>15</v>
      </c>
      <c r="D264" t="s">
        <v>28</v>
      </c>
      <c r="E264">
        <v>23914.97</v>
      </c>
      <c r="F264">
        <v>8018</v>
      </c>
      <c r="G264">
        <v>0.13900000000000001</v>
      </c>
      <c r="H264">
        <v>20</v>
      </c>
      <c r="I264">
        <v>89</v>
      </c>
      <c r="J264">
        <v>0.2</v>
      </c>
      <c r="K264">
        <v>0</v>
      </c>
      <c r="L264">
        <v>3.5</v>
      </c>
      <c r="M264">
        <v>739374.56</v>
      </c>
      <c r="N264">
        <v>121032.29</v>
      </c>
      <c r="O264">
        <f>IF($D264="High Street",1,0)</f>
        <v>0</v>
      </c>
      <c r="P264">
        <f>IF($D264="Mall",1,0)</f>
        <v>1</v>
      </c>
      <c r="Q264">
        <f>IF($D264="Airport",1,0)</f>
        <v>0</v>
      </c>
      <c r="R264">
        <f>IF($C264="North",1,0)</f>
        <v>0</v>
      </c>
      <c r="S264">
        <f>IF($C264="South",1,0)</f>
        <v>0</v>
      </c>
      <c r="T264">
        <f>IF($C264="East",1,0)</f>
        <v>1</v>
      </c>
      <c r="U264">
        <f>66915.46892+(1.209928492*E264)+(27.33619482*F264)+(-41243.14883*G264)+(3508.399163*H264)+(3062.210286*I264)+(-3438.10791*J264)+(15157.28728*K264)+(12509.46131*L264)+(20219.25907*O264)+(32832.85351*P264)+(44695.0949*Q264)+(-15342.70531*R264)+(-4201.853217*S264)+(-25291.41891*T264)</f>
        <v>702641.31120471528</v>
      </c>
      <c r="V264">
        <f>M264-U264</f>
        <v>36733.248795284773</v>
      </c>
      <c r="W264">
        <f>V264^2</f>
        <v>1349331567.0562901</v>
      </c>
    </row>
    <row r="265" spans="1:23">
      <c r="A265" t="s">
        <v>53</v>
      </c>
      <c r="B265" s="2">
        <v>45717</v>
      </c>
      <c r="C265" t="s">
        <v>24</v>
      </c>
      <c r="D265" t="s">
        <v>18</v>
      </c>
      <c r="E265">
        <v>56517.9</v>
      </c>
      <c r="F265">
        <v>9574</v>
      </c>
      <c r="G265">
        <v>0.20399999999999999</v>
      </c>
      <c r="H265">
        <v>20</v>
      </c>
      <c r="I265">
        <v>88.2</v>
      </c>
      <c r="J265">
        <v>5.37</v>
      </c>
      <c r="K265">
        <v>1</v>
      </c>
      <c r="L265">
        <v>4.9000000000000004</v>
      </c>
      <c r="M265">
        <v>842157.92</v>
      </c>
      <c r="N265">
        <v>107348.22</v>
      </c>
      <c r="O265">
        <f>IF($D265="High Street",1,0)</f>
        <v>1</v>
      </c>
      <c r="P265">
        <f>IF($D265="Mall",1,0)</f>
        <v>0</v>
      </c>
      <c r="Q265">
        <f>IF($D265="Airport",1,0)</f>
        <v>0</v>
      </c>
      <c r="R265">
        <f>IF($C265="North",1,0)</f>
        <v>0</v>
      </c>
      <c r="S265">
        <f>IF($C265="South",1,0)</f>
        <v>1</v>
      </c>
      <c r="T265">
        <f>IF($C265="East",1,0)</f>
        <v>0</v>
      </c>
      <c r="U265">
        <f>66915.46892+(1.209928492*E265)+(27.33619482*F265)+(-41243.14883*G265)+(3508.399163*H265)+(3062.210286*I265)+(-3438.10791*J265)+(15157.28728*K265)+(12509.46131*L265)+(20219.25907*O265)+(32832.85351*P265)+(44695.0949*Q265)+(-15342.70531*R265)+(-4201.853217*S265)+(-25291.41891*T265)</f>
        <v>802864.55784386699</v>
      </c>
      <c r="V265">
        <f>M265-U265</f>
        <v>39293.362156133051</v>
      </c>
      <c r="W265">
        <f>V265^2</f>
        <v>1543968309.5330291</v>
      </c>
    </row>
    <row r="266" spans="1:23">
      <c r="A266" t="s">
        <v>98</v>
      </c>
      <c r="B266" s="2">
        <v>45717</v>
      </c>
      <c r="C266" t="s">
        <v>24</v>
      </c>
      <c r="D266" t="s">
        <v>16</v>
      </c>
      <c r="E266">
        <v>22387.26</v>
      </c>
      <c r="F266">
        <v>6301</v>
      </c>
      <c r="G266">
        <v>0.14599999999999999</v>
      </c>
      <c r="H266">
        <v>14</v>
      </c>
      <c r="I266">
        <v>85.9</v>
      </c>
      <c r="J266">
        <v>1.17</v>
      </c>
      <c r="K266">
        <v>1</v>
      </c>
      <c r="L266">
        <v>3.7</v>
      </c>
      <c r="M266">
        <v>665342.49</v>
      </c>
      <c r="N266">
        <v>93441.81</v>
      </c>
      <c r="O266">
        <f>IF($D266="High Street",1,0)</f>
        <v>0</v>
      </c>
      <c r="P266">
        <f>IF($D266="Mall",1,0)</f>
        <v>0</v>
      </c>
      <c r="Q266">
        <f>IF($D266="Airport",1,0)</f>
        <v>0</v>
      </c>
      <c r="R266">
        <f>IF($C266="North",1,0)</f>
        <v>0</v>
      </c>
      <c r="S266">
        <f>IF($C266="South",1,0)</f>
        <v>1</v>
      </c>
      <c r="T266">
        <f>IF($C266="East",1,0)</f>
        <v>0</v>
      </c>
      <c r="U266">
        <f>66915.46892+(1.209928492*E266)+(27.33619482*F266)+(-41243.14883*G266)+(3508.399163*H266)+(3062.210286*I266)+(-3438.10791*J266)+(15157.28728*K266)+(12509.46131*L266)+(20219.25907*O266)+(32832.85351*P266)+(44695.0949*Q266)+(-15342.70531*R266)+(-4201.853217*S266)+(-25291.41891*T266)</f>
        <v>625605.62298815185</v>
      </c>
      <c r="V266">
        <f>M266-U266</f>
        <v>39736.867011848139</v>
      </c>
      <c r="W266">
        <f>V266^2</f>
        <v>1579018599.9173048</v>
      </c>
    </row>
    <row r="267" spans="1:23">
      <c r="A267" t="s">
        <v>79</v>
      </c>
      <c r="B267" s="2">
        <v>45748</v>
      </c>
      <c r="C267" t="s">
        <v>15</v>
      </c>
      <c r="D267" t="s">
        <v>18</v>
      </c>
      <c r="E267">
        <v>25818.080000000002</v>
      </c>
      <c r="F267">
        <v>5457</v>
      </c>
      <c r="G267">
        <v>0</v>
      </c>
      <c r="H267">
        <v>11</v>
      </c>
      <c r="I267">
        <v>95.4</v>
      </c>
      <c r="J267">
        <v>3.3650000000000002</v>
      </c>
      <c r="K267">
        <v>0</v>
      </c>
      <c r="L267">
        <v>3.7</v>
      </c>
      <c r="M267">
        <v>647512.85</v>
      </c>
      <c r="N267">
        <v>153835.57</v>
      </c>
      <c r="O267">
        <f>IF($D267="High Street",1,0)</f>
        <v>1</v>
      </c>
      <c r="P267">
        <f>IF($D267="Mall",1,0)</f>
        <v>0</v>
      </c>
      <c r="Q267">
        <f>IF($D267="Airport",1,0)</f>
        <v>0</v>
      </c>
      <c r="R267">
        <f>IF($C267="North",1,0)</f>
        <v>0</v>
      </c>
      <c r="S267">
        <f>IF($C267="South",1,0)</f>
        <v>0</v>
      </c>
      <c r="T267">
        <f>IF($C267="East",1,0)</f>
        <v>1</v>
      </c>
      <c r="U267">
        <f>66915.46892+(1.209928492*E267)+(27.33619482*F267)+(-41243.14883*G267)+(3508.399163*H267)+(3062.210286*I267)+(-3438.10791*J267)+(15157.28728*K267)+(12509.46131*L267)+(20219.25907*O267)+(32832.85351*P267)+(44695.0949*Q267)+(-15342.70531*R267)+(-4201.853217*S267)+(-25291.41891*T267)</f>
        <v>607697.98062072531</v>
      </c>
      <c r="V267">
        <f>M267-U267</f>
        <v>39814.869379274664</v>
      </c>
      <c r="W267">
        <f>V267^2</f>
        <v>1585223823.6887033</v>
      </c>
    </row>
    <row r="268" spans="1:23">
      <c r="A268" t="s">
        <v>67</v>
      </c>
      <c r="B268" s="2">
        <v>45689</v>
      </c>
      <c r="C268" t="s">
        <v>27</v>
      </c>
      <c r="D268" t="s">
        <v>16</v>
      </c>
      <c r="E268">
        <v>45209.25</v>
      </c>
      <c r="F268">
        <v>9287</v>
      </c>
      <c r="G268">
        <v>0.14099999999999999</v>
      </c>
      <c r="H268">
        <v>22</v>
      </c>
      <c r="I268">
        <v>86.4</v>
      </c>
      <c r="J268">
        <v>13.22</v>
      </c>
      <c r="K268">
        <v>0</v>
      </c>
      <c r="L268">
        <v>3.6</v>
      </c>
      <c r="M268">
        <v>751393.88</v>
      </c>
      <c r="N268">
        <v>91480.320000000007</v>
      </c>
      <c r="O268">
        <f>IF($D268="High Street",1,0)</f>
        <v>0</v>
      </c>
      <c r="P268">
        <f>IF($D268="Mall",1,0)</f>
        <v>0</v>
      </c>
      <c r="Q268">
        <f>IF($D268="Airport",1,0)</f>
        <v>0</v>
      </c>
      <c r="R268">
        <f>IF($C268="North",1,0)</f>
        <v>0</v>
      </c>
      <c r="S268">
        <f>IF($C268="South",1,0)</f>
        <v>0</v>
      </c>
      <c r="T268">
        <f>IF($C268="East",1,0)</f>
        <v>0</v>
      </c>
      <c r="U268">
        <f>66915.46892+(1.209928492*E268)+(27.33619482*F268)+(-41243.14883*G268)+(3508.399163*H268)+(3062.210286*I268)+(-3438.10791*J268)+(15157.28728*K268)+(12509.46131*L268)+(20219.25907*O268)+(32832.85351*P268)+(44695.0949*Q268)+(-15342.70531*R268)+(-4201.853217*S268)+(-25291.41891*T268)</f>
        <v>711013.410347461</v>
      </c>
      <c r="V268">
        <f>M268-U268</f>
        <v>40380.469652539003</v>
      </c>
      <c r="W268">
        <f>V268^2</f>
        <v>1630582329.3596234</v>
      </c>
    </row>
    <row r="269" spans="1:23">
      <c r="A269" t="s">
        <v>75</v>
      </c>
      <c r="B269" s="2">
        <v>45689</v>
      </c>
      <c r="C269" t="s">
        <v>27</v>
      </c>
      <c r="D269" t="s">
        <v>16</v>
      </c>
      <c r="E269">
        <v>41819.449999999997</v>
      </c>
      <c r="F269">
        <v>9412</v>
      </c>
      <c r="G269">
        <v>0.15</v>
      </c>
      <c r="H269">
        <v>22</v>
      </c>
      <c r="I269">
        <v>91</v>
      </c>
      <c r="J269">
        <v>3.67</v>
      </c>
      <c r="K269">
        <v>0</v>
      </c>
      <c r="L269">
        <v>4.2</v>
      </c>
      <c r="M269">
        <v>804975.5</v>
      </c>
      <c r="N269">
        <v>140054.5</v>
      </c>
      <c r="O269">
        <f>IF($D269="High Street",1,0)</f>
        <v>0</v>
      </c>
      <c r="P269">
        <f>IF($D269="Mall",1,0)</f>
        <v>0</v>
      </c>
      <c r="Q269">
        <f>IF($D269="Airport",1,0)</f>
        <v>0</v>
      </c>
      <c r="R269">
        <f>IF($C269="North",1,0)</f>
        <v>0</v>
      </c>
      <c r="S269">
        <f>IF($C269="South",1,0)</f>
        <v>0</v>
      </c>
      <c r="T269">
        <f>IF($C269="East",1,0)</f>
        <v>0</v>
      </c>
      <c r="U269">
        <f>66915.46892+(1.209928492*E269)+(27.33619482*F269)+(-41243.14883*G269)+(3508.399163*H269)+(3062.210286*I269)+(-3438.10791*J269)+(15157.28728*K269)+(12509.46131*L269)+(20219.25907*O269)+(32832.85351*P269)+(44695.0949*Q269)+(-15342.70531*R269)+(-4201.853217*S269)+(-25291.41891*T269)</f>
        <v>764383.60540040955</v>
      </c>
      <c r="V269">
        <f>M269-U269</f>
        <v>40591.894599590451</v>
      </c>
      <c r="W269">
        <f>V269^2</f>
        <v>1647701907.1842604</v>
      </c>
    </row>
    <row r="270" spans="1:23">
      <c r="A270" t="s">
        <v>22</v>
      </c>
      <c r="B270" s="2">
        <v>45658</v>
      </c>
      <c r="C270" t="s">
        <v>15</v>
      </c>
      <c r="D270" t="s">
        <v>16</v>
      </c>
      <c r="E270">
        <v>71828.259999999995</v>
      </c>
      <c r="F270">
        <v>12775</v>
      </c>
      <c r="G270">
        <v>0.11600000000000001</v>
      </c>
      <c r="H270">
        <v>30</v>
      </c>
      <c r="I270">
        <v>81.7</v>
      </c>
      <c r="J270">
        <v>4.24</v>
      </c>
      <c r="K270">
        <v>1</v>
      </c>
      <c r="L270">
        <v>4.2</v>
      </c>
      <c r="M270">
        <v>922168.6</v>
      </c>
      <c r="N270">
        <v>107494.53</v>
      </c>
      <c r="O270">
        <f>IF($D270="High Street",1,0)</f>
        <v>0</v>
      </c>
      <c r="P270">
        <f>IF($D270="Mall",1,0)</f>
        <v>0</v>
      </c>
      <c r="Q270">
        <f>IF($D270="Airport",1,0)</f>
        <v>0</v>
      </c>
      <c r="R270">
        <f>IF($C270="North",1,0)</f>
        <v>0</v>
      </c>
      <c r="S270">
        <f>IF($C270="South",1,0)</f>
        <v>0</v>
      </c>
      <c r="T270">
        <f>IF($C270="East",1,0)</f>
        <v>1</v>
      </c>
      <c r="U270">
        <f>66915.46892+(1.209928492*E270)+(27.33619482*F270)+(-41243.14883*G270)+(3508.399163*H270)+(3062.210286*I270)+(-3438.10791*J270)+(15157.28728*K270)+(12509.46131*L270)+(20219.25907*O270)+(32832.85351*P270)+(44695.0949*Q270)+(-15342.70531*R270)+(-4201.853217*S270)+(-25291.41891*T270)</f>
        <v>881520.79437580402</v>
      </c>
      <c r="V270">
        <f>M270-U270</f>
        <v>40647.805624195957</v>
      </c>
      <c r="W270">
        <f>V270^2</f>
        <v>1652244102.0624166</v>
      </c>
    </row>
    <row r="271" spans="1:23">
      <c r="A271" t="s">
        <v>26</v>
      </c>
      <c r="B271" s="2">
        <v>45748</v>
      </c>
      <c r="C271" t="s">
        <v>27</v>
      </c>
      <c r="D271" t="s">
        <v>28</v>
      </c>
      <c r="E271">
        <v>52715.1</v>
      </c>
      <c r="F271">
        <v>7223</v>
      </c>
      <c r="G271">
        <v>0.122</v>
      </c>
      <c r="H271">
        <v>16</v>
      </c>
      <c r="I271">
        <v>84.2</v>
      </c>
      <c r="J271">
        <v>16.149999999999999</v>
      </c>
      <c r="K271">
        <v>0</v>
      </c>
      <c r="L271">
        <v>3.7</v>
      </c>
      <c r="M271">
        <v>701641.97</v>
      </c>
      <c r="N271">
        <v>106111.86</v>
      </c>
      <c r="O271">
        <f>IF($D271="High Street",1,0)</f>
        <v>0</v>
      </c>
      <c r="P271">
        <f>IF($D271="Mall",1,0)</f>
        <v>1</v>
      </c>
      <c r="Q271">
        <f>IF($D271="Airport",1,0)</f>
        <v>0</v>
      </c>
      <c r="R271">
        <f>IF($C271="North",1,0)</f>
        <v>0</v>
      </c>
      <c r="S271">
        <f>IF($C271="South",1,0)</f>
        <v>0</v>
      </c>
      <c r="T271">
        <f>IF($C271="East",1,0)</f>
        <v>0</v>
      </c>
      <c r="U271">
        <f>66915.46892+(1.209928492*E271)+(27.33619482*F271)+(-41243.14883*G271)+(3508.399163*H271)+(3062.210286*I271)+(-3438.10791*J271)+(15157.28728*K271)+(12509.46131*L271)+(20219.25907*O271)+(32832.85351*P271)+(44695.0949*Q271)+(-15342.70531*R271)+(-4201.853217*S271)+(-25291.41891*T271)</f>
        <v>660679.55169592914</v>
      </c>
      <c r="V271">
        <f>M271-U271</f>
        <v>40962.41830407083</v>
      </c>
      <c r="W271">
        <f>V271^2</f>
        <v>1677919713.317677</v>
      </c>
    </row>
    <row r="272" spans="1:23">
      <c r="A272" t="s">
        <v>68</v>
      </c>
      <c r="B272" s="2">
        <v>45717</v>
      </c>
      <c r="C272" t="s">
        <v>20</v>
      </c>
      <c r="D272" t="s">
        <v>18</v>
      </c>
      <c r="E272">
        <v>48031.74</v>
      </c>
      <c r="F272">
        <v>6516</v>
      </c>
      <c r="G272">
        <v>6.7000000000000004E-2</v>
      </c>
      <c r="H272">
        <v>14</v>
      </c>
      <c r="I272">
        <v>99</v>
      </c>
      <c r="J272">
        <v>0.48</v>
      </c>
      <c r="K272">
        <v>1</v>
      </c>
      <c r="L272">
        <v>4.3</v>
      </c>
      <c r="M272">
        <v>765906.95</v>
      </c>
      <c r="N272">
        <v>114005.9</v>
      </c>
      <c r="O272">
        <f>IF($D272="High Street",1,0)</f>
        <v>1</v>
      </c>
      <c r="P272">
        <f>IF($D272="Mall",1,0)</f>
        <v>0</v>
      </c>
      <c r="Q272">
        <f>IF($D272="Airport",1,0)</f>
        <v>0</v>
      </c>
      <c r="R272">
        <f>IF($C272="North",1,0)</f>
        <v>1</v>
      </c>
      <c r="S272">
        <f>IF($C272="South",1,0)</f>
        <v>0</v>
      </c>
      <c r="T272">
        <f>IF($C272="East",1,0)</f>
        <v>0</v>
      </c>
      <c r="U272">
        <f>66915.46892+(1.209928492*E272)+(27.33619482*F272)+(-41243.14883*G272)+(3508.399163*H272)+(3062.210286*I272)+(-3438.10791*J272)+(15157.28728*K272)+(12509.46131*L272)+(20219.25907*O272)+(32832.85351*P272)+(44695.0949*Q272)+(-15342.70531*R272)+(-4201.853217*S272)+(-25291.41891*T272)</f>
        <v>724840.4336140462</v>
      </c>
      <c r="V272">
        <f>M272-U272</f>
        <v>41066.516385953757</v>
      </c>
      <c r="W272">
        <f>V272^2</f>
        <v>1686458768.0778084</v>
      </c>
    </row>
    <row r="273" spans="1:23">
      <c r="A273" t="s">
        <v>88</v>
      </c>
      <c r="B273" s="2">
        <v>45748</v>
      </c>
      <c r="C273" t="s">
        <v>15</v>
      </c>
      <c r="D273" t="s">
        <v>18</v>
      </c>
      <c r="E273">
        <v>67722.289999999994</v>
      </c>
      <c r="F273">
        <v>7240</v>
      </c>
      <c r="G273">
        <v>2.5999999999999999E-2</v>
      </c>
      <c r="H273">
        <v>15</v>
      </c>
      <c r="I273">
        <v>92.9</v>
      </c>
      <c r="J273">
        <v>0.28999999999999998</v>
      </c>
      <c r="K273">
        <v>0</v>
      </c>
      <c r="L273">
        <v>3.5</v>
      </c>
      <c r="M273">
        <v>762328.31</v>
      </c>
      <c r="N273">
        <v>159158.19</v>
      </c>
      <c r="O273">
        <f>IF($D273="High Street",1,0)</f>
        <v>1</v>
      </c>
      <c r="P273">
        <f>IF($D273="Mall",1,0)</f>
        <v>0</v>
      </c>
      <c r="Q273">
        <f>IF($D273="Airport",1,0)</f>
        <v>0</v>
      </c>
      <c r="R273">
        <f>IF($C273="North",1,0)</f>
        <v>0</v>
      </c>
      <c r="S273">
        <f>IF($C273="South",1,0)</f>
        <v>0</v>
      </c>
      <c r="T273">
        <f>IF($C273="East",1,0)</f>
        <v>1</v>
      </c>
      <c r="U273">
        <f>66915.46892+(1.209928492*E273)+(27.33619482*F273)+(-41243.14883*G273)+(3508.399163*H273)+(3062.210286*I273)+(-3438.10791*J273)+(15157.28728*K273)+(12509.46131*L273)+(20219.25907*O273)+(32832.85351*P273)+(44695.0949*Q273)+(-15342.70531*R273)+(-4201.853217*S273)+(-25291.41891*T273)</f>
        <v>720515.55222720653</v>
      </c>
      <c r="V273">
        <f>M273-U273</f>
        <v>41812.757772793528</v>
      </c>
      <c r="W273">
        <f>V273^2</f>
        <v>1748306712.5663056</v>
      </c>
    </row>
    <row r="274" spans="1:23">
      <c r="A274" t="s">
        <v>37</v>
      </c>
      <c r="B274" s="2">
        <v>45658</v>
      </c>
      <c r="C274" t="s">
        <v>24</v>
      </c>
      <c r="D274" t="s">
        <v>18</v>
      </c>
      <c r="E274">
        <v>74907.98</v>
      </c>
      <c r="F274">
        <v>5306</v>
      </c>
      <c r="G274">
        <v>6.2E-2</v>
      </c>
      <c r="H274">
        <v>16</v>
      </c>
      <c r="I274">
        <v>95.6</v>
      </c>
      <c r="J274">
        <v>1.02</v>
      </c>
      <c r="K274">
        <v>0</v>
      </c>
      <c r="L274">
        <v>3.7</v>
      </c>
      <c r="M274">
        <v>749559.71</v>
      </c>
      <c r="N274">
        <v>144522.53</v>
      </c>
      <c r="O274">
        <f>IF($D274="High Street",1,0)</f>
        <v>1</v>
      </c>
      <c r="P274">
        <f>IF($D274="Mall",1,0)</f>
        <v>0</v>
      </c>
      <c r="Q274">
        <f>IF($D274="Airport",1,0)</f>
        <v>0</v>
      </c>
      <c r="R274">
        <f>IF($C274="North",1,0)</f>
        <v>0</v>
      </c>
      <c r="S274">
        <f>IF($C274="South",1,0)</f>
        <v>1</v>
      </c>
      <c r="T274">
        <f>IF($C274="East",1,0)</f>
        <v>0</v>
      </c>
      <c r="U274">
        <f>66915.46892+(1.209928492*E274)+(27.33619482*F274)+(-41243.14883*G274)+(3508.399163*H274)+(3062.210286*I274)+(-3438.10791*J274)+(15157.28728*K274)+(12509.46131*L274)+(20219.25907*O274)+(32832.85351*P274)+(44695.0949*Q274)+(-15342.70531*R274)+(-4201.853217*S274)+(-25291.41891*T274)</f>
        <v>707714.77526902605</v>
      </c>
      <c r="V274">
        <f>M274-U274</f>
        <v>41844.93473097391</v>
      </c>
      <c r="W274">
        <f>V274^2</f>
        <v>1750998562.6394665</v>
      </c>
    </row>
    <row r="275" spans="1:23">
      <c r="A275" t="s">
        <v>40</v>
      </c>
      <c r="B275" s="2">
        <v>45658</v>
      </c>
      <c r="C275" t="s">
        <v>15</v>
      </c>
      <c r="D275" t="s">
        <v>16</v>
      </c>
      <c r="E275">
        <v>46201.46</v>
      </c>
      <c r="F275">
        <v>5918</v>
      </c>
      <c r="G275">
        <v>0.27700000000000002</v>
      </c>
      <c r="H275">
        <v>13</v>
      </c>
      <c r="I275">
        <v>78.8</v>
      </c>
      <c r="J275">
        <v>4.91</v>
      </c>
      <c r="K275">
        <v>0</v>
      </c>
      <c r="L275">
        <v>4.5</v>
      </c>
      <c r="M275">
        <v>616069.41</v>
      </c>
      <c r="N275">
        <v>54453.99</v>
      </c>
      <c r="O275">
        <f>IF($D275="High Street",1,0)</f>
        <v>0</v>
      </c>
      <c r="P275">
        <f>IF($D275="Mall",1,0)</f>
        <v>0</v>
      </c>
      <c r="Q275">
        <f>IF($D275="Airport",1,0)</f>
        <v>0</v>
      </c>
      <c r="R275">
        <f>IF($C275="North",1,0)</f>
        <v>0</v>
      </c>
      <c r="S275">
        <f>IF($C275="South",1,0)</f>
        <v>0</v>
      </c>
      <c r="T275">
        <f>IF($C275="East",1,0)</f>
        <v>1</v>
      </c>
      <c r="U275">
        <f>66915.46892+(1.209928492*E275)+(27.33619482*F275)+(-41243.14883*G275)+(3508.399163*H275)+(3062.210286*I275)+(-3438.10791*J275)+(15157.28728*K275)+(12509.46131*L275)+(20219.25907*O275)+(32832.85351*P275)+(44695.0949*Q275)+(-15342.70531*R275)+(-4201.853217*S275)+(-25291.41891*T275)</f>
        <v>574198.5872675482</v>
      </c>
      <c r="V275">
        <f>M275-U275</f>
        <v>41870.822732451838</v>
      </c>
      <c r="W275">
        <f>V275^2</f>
        <v>1753165796.2924056</v>
      </c>
    </row>
    <row r="276" spans="1:23">
      <c r="A276" t="s">
        <v>87</v>
      </c>
      <c r="B276" s="2">
        <v>45748</v>
      </c>
      <c r="C276" t="s">
        <v>27</v>
      </c>
      <c r="D276" t="s">
        <v>18</v>
      </c>
      <c r="E276">
        <v>58688.26</v>
      </c>
      <c r="F276">
        <v>4022</v>
      </c>
      <c r="G276">
        <v>0.217</v>
      </c>
      <c r="H276">
        <v>12</v>
      </c>
      <c r="I276">
        <v>93.8</v>
      </c>
      <c r="J276">
        <v>11.78</v>
      </c>
      <c r="K276">
        <v>0</v>
      </c>
      <c r="L276">
        <v>3.7</v>
      </c>
      <c r="M276">
        <v>636613.23</v>
      </c>
      <c r="N276">
        <v>78908.350000000006</v>
      </c>
      <c r="O276">
        <f>IF($D276="High Street",1,0)</f>
        <v>1</v>
      </c>
      <c r="P276">
        <f>IF($D276="Mall",1,0)</f>
        <v>0</v>
      </c>
      <c r="Q276">
        <f>IF($D276="Airport",1,0)</f>
        <v>0</v>
      </c>
      <c r="R276">
        <f>IF($C276="North",1,0)</f>
        <v>0</v>
      </c>
      <c r="S276">
        <f>IF($C276="South",1,0)</f>
        <v>0</v>
      </c>
      <c r="T276">
        <f>IF($C276="East",1,0)</f>
        <v>0</v>
      </c>
      <c r="U276">
        <f>66915.46892+(1.209928492*E276)+(27.33619482*F276)+(-41243.14883*G276)+(3508.399163*H276)+(3062.210286*I276)+(-3438.10791*J276)+(15157.28728*K276)+(12509.46131*L276)+(20219.25907*O276)+(32832.85351*P276)+(44695.0949*Q276)+(-15342.70531*R276)+(-4201.853217*S276)+(-25291.41891*T276)</f>
        <v>594259.94862983387</v>
      </c>
      <c r="V276">
        <f>M276-U276</f>
        <v>42353.281370166107</v>
      </c>
      <c r="W276">
        <f>V276^2</f>
        <v>1793800442.8204594</v>
      </c>
    </row>
    <row r="277" spans="1:23">
      <c r="A277" t="s">
        <v>45</v>
      </c>
      <c r="B277" s="2">
        <v>45689</v>
      </c>
      <c r="C277" t="s">
        <v>27</v>
      </c>
      <c r="D277" t="s">
        <v>16</v>
      </c>
      <c r="E277">
        <v>67439.3</v>
      </c>
      <c r="F277">
        <v>6477</v>
      </c>
      <c r="G277">
        <v>0</v>
      </c>
      <c r="H277">
        <v>16</v>
      </c>
      <c r="I277">
        <v>90.9</v>
      </c>
      <c r="J277">
        <v>1.64</v>
      </c>
      <c r="K277">
        <v>0</v>
      </c>
      <c r="L277">
        <v>4.5</v>
      </c>
      <c r="M277">
        <v>753473.55</v>
      </c>
      <c r="N277">
        <v>151527.22</v>
      </c>
      <c r="O277">
        <f>IF($D277="High Street",1,0)</f>
        <v>0</v>
      </c>
      <c r="P277">
        <f>IF($D277="Mall",1,0)</f>
        <v>0</v>
      </c>
      <c r="Q277">
        <f>IF($D277="Airport",1,0)</f>
        <v>0</v>
      </c>
      <c r="R277">
        <f>IF($C277="North",1,0)</f>
        <v>0</v>
      </c>
      <c r="S277">
        <f>IF($C277="South",1,0)</f>
        <v>0</v>
      </c>
      <c r="T277">
        <f>IF($C277="East",1,0)</f>
        <v>0</v>
      </c>
      <c r="U277">
        <f>66915.46892+(1.209928492*E277)+(27.33619482*F277)+(-41243.14883*G277)+(3508.399163*H277)+(3062.210286*I277)+(-3438.10791*J277)+(15157.28728*K277)+(12509.46131*L277)+(20219.25907*O277)+(32832.85351*P277)+(44695.0949*Q277)+(-15342.70531*R277)+(-4201.853217*S277)+(-25291.41891*T277)</f>
        <v>710712.11384767562</v>
      </c>
      <c r="V277">
        <f>M277-U277</f>
        <v>42761.43615232443</v>
      </c>
      <c r="W277">
        <f>V277^2</f>
        <v>1828540421.8093188</v>
      </c>
    </row>
    <row r="278" spans="1:23">
      <c r="A278" t="s">
        <v>19</v>
      </c>
      <c r="B278" s="2">
        <v>45748</v>
      </c>
      <c r="C278" t="s">
        <v>20</v>
      </c>
      <c r="D278" t="s">
        <v>21</v>
      </c>
      <c r="E278">
        <v>67979.88</v>
      </c>
      <c r="F278">
        <v>11230</v>
      </c>
      <c r="G278">
        <v>2E-3</v>
      </c>
      <c r="H278">
        <v>28</v>
      </c>
      <c r="I278">
        <v>85.3</v>
      </c>
      <c r="J278">
        <v>7.16</v>
      </c>
      <c r="K278">
        <v>0</v>
      </c>
      <c r="L278">
        <v>3.8</v>
      </c>
      <c r="M278">
        <v>910791.94</v>
      </c>
      <c r="N278">
        <v>158891.28</v>
      </c>
      <c r="O278">
        <f>IF($D278="High Street",1,0)</f>
        <v>0</v>
      </c>
      <c r="P278">
        <f>IF($D278="Mall",1,0)</f>
        <v>0</v>
      </c>
      <c r="Q278">
        <f>IF($D278="Airport",1,0)</f>
        <v>1</v>
      </c>
      <c r="R278">
        <f>IF($C278="North",1,0)</f>
        <v>1</v>
      </c>
      <c r="S278">
        <f>IF($C278="South",1,0)</f>
        <v>0</v>
      </c>
      <c r="T278">
        <f>IF($C278="East",1,0)</f>
        <v>0</v>
      </c>
      <c r="U278">
        <f>66915.46892+(1.209928492*E278)+(27.33619482*F278)+(-41243.14883*G278)+(3508.399163*H278)+(3062.210286*I278)+(-3438.10791*J278)+(15157.28728*K278)+(12509.46131*L278)+(20219.25907*O278)+(32832.85351*P278)+(44695.0949*Q278)+(-15342.70531*R278)+(-4201.853217*S278)+(-25291.41891*T278)</f>
        <v>867782.44803788105</v>
      </c>
      <c r="V278">
        <f>M278-U278</f>
        <v>43009.491962118889</v>
      </c>
      <c r="W278">
        <f>V278^2</f>
        <v>1849816398.8395693</v>
      </c>
    </row>
    <row r="279" spans="1:23">
      <c r="A279" t="s">
        <v>94</v>
      </c>
      <c r="B279" s="2">
        <v>45658</v>
      </c>
      <c r="C279" t="s">
        <v>15</v>
      </c>
      <c r="D279" t="s">
        <v>16</v>
      </c>
      <c r="E279">
        <v>70012.41</v>
      </c>
      <c r="F279">
        <v>8484</v>
      </c>
      <c r="G279">
        <v>0.27300000000000002</v>
      </c>
      <c r="H279">
        <v>23</v>
      </c>
      <c r="I279">
        <v>72.900000000000006</v>
      </c>
      <c r="J279">
        <v>3.34</v>
      </c>
      <c r="K279">
        <v>0</v>
      </c>
      <c r="L279">
        <v>3.7</v>
      </c>
      <c r="M279">
        <v>729424.42</v>
      </c>
      <c r="N279">
        <v>75592.28</v>
      </c>
      <c r="O279">
        <f>IF($D279="High Street",1,0)</f>
        <v>0</v>
      </c>
      <c r="P279">
        <f>IF($D279="Mall",1,0)</f>
        <v>0</v>
      </c>
      <c r="Q279">
        <f>IF($D279="Airport",1,0)</f>
        <v>0</v>
      </c>
      <c r="R279">
        <f>IF($C279="North",1,0)</f>
        <v>0</v>
      </c>
      <c r="S279">
        <f>IF($C279="South",1,0)</f>
        <v>0</v>
      </c>
      <c r="T279">
        <f>IF($C279="East",1,0)</f>
        <v>1</v>
      </c>
      <c r="U279">
        <f>66915.46892+(1.209928492*E279)+(27.33619482*F279)+(-41243.14883*G279)+(3508.399163*H279)+(3062.210286*I279)+(-3438.10791*J279)+(15157.28728*K279)+(12509.46131*L279)+(20219.25907*O279)+(32832.85351*P279)+(44695.0949*Q279)+(-15342.70531*R279)+(-4201.853217*S279)+(-25291.41891*T279)</f>
        <v>685724.99391087587</v>
      </c>
      <c r="V279">
        <f>M279-U279</f>
        <v>43699.426089124172</v>
      </c>
      <c r="W279">
        <f>V279^2</f>
        <v>1909639840.5188262</v>
      </c>
    </row>
    <row r="280" spans="1:23">
      <c r="A280" t="s">
        <v>31</v>
      </c>
      <c r="B280" s="2">
        <v>45658</v>
      </c>
      <c r="C280" t="s">
        <v>20</v>
      </c>
      <c r="D280" t="s">
        <v>28</v>
      </c>
      <c r="E280">
        <v>75269.87</v>
      </c>
      <c r="F280">
        <v>8838</v>
      </c>
      <c r="G280">
        <v>9.1999999999999998E-2</v>
      </c>
      <c r="H280">
        <v>21</v>
      </c>
      <c r="I280">
        <v>83.1</v>
      </c>
      <c r="J280">
        <v>9.56</v>
      </c>
      <c r="K280">
        <v>1</v>
      </c>
      <c r="L280">
        <v>4.2</v>
      </c>
      <c r="M280">
        <v>820593.93</v>
      </c>
      <c r="N280">
        <v>115860.06</v>
      </c>
      <c r="O280">
        <f>IF($D280="High Street",1,0)</f>
        <v>0</v>
      </c>
      <c r="P280">
        <f>IF($D280="Mall",1,0)</f>
        <v>1</v>
      </c>
      <c r="Q280">
        <f>IF($D280="Airport",1,0)</f>
        <v>0</v>
      </c>
      <c r="R280">
        <f>IF($C280="North",1,0)</f>
        <v>1</v>
      </c>
      <c r="S280">
        <f>IF($C280="South",1,0)</f>
        <v>0</v>
      </c>
      <c r="T280">
        <f>IF($C280="East",1,0)</f>
        <v>0</v>
      </c>
      <c r="U280">
        <f>66915.46892+(1.209928492*E280)+(27.33619482*F280)+(-41243.14883*G280)+(3508.399163*H280)+(3062.210286*I280)+(-3438.10791*J280)+(15157.28728*K280)+(12509.46131*L280)+(20219.25907*O280)+(32832.85351*P280)+(44695.0949*Q280)+(-15342.70531*R280)+(-4201.853217*S280)+(-25291.41891*T280)</f>
        <v>776254.46790093614</v>
      </c>
      <c r="V280">
        <f>M280-U280</f>
        <v>44339.462099063909</v>
      </c>
      <c r="W280">
        <f>V280^2</f>
        <v>1965987899.2343249</v>
      </c>
    </row>
    <row r="281" spans="1:23">
      <c r="A281" t="s">
        <v>86</v>
      </c>
      <c r="B281" s="2">
        <v>45658</v>
      </c>
      <c r="C281" t="s">
        <v>24</v>
      </c>
      <c r="D281" t="s">
        <v>28</v>
      </c>
      <c r="E281">
        <v>65272.58</v>
      </c>
      <c r="F281">
        <v>8165</v>
      </c>
      <c r="G281">
        <v>5.0999999999999997E-2</v>
      </c>
      <c r="H281">
        <v>19</v>
      </c>
      <c r="I281">
        <v>87.8</v>
      </c>
      <c r="J281">
        <v>1.26</v>
      </c>
      <c r="K281">
        <v>1</v>
      </c>
      <c r="L281">
        <v>4.3</v>
      </c>
      <c r="M281">
        <v>840108.12</v>
      </c>
      <c r="N281">
        <v>126587.01</v>
      </c>
      <c r="O281">
        <f>IF($D281="High Street",1,0)</f>
        <v>0</v>
      </c>
      <c r="P281">
        <f>IF($D281="Mall",1,0)</f>
        <v>1</v>
      </c>
      <c r="Q281">
        <f>IF($D281="Airport",1,0)</f>
        <v>0</v>
      </c>
      <c r="R281">
        <f>IF($C281="North",1,0)</f>
        <v>0</v>
      </c>
      <c r="S281">
        <f>IF($C281="South",1,0)</f>
        <v>1</v>
      </c>
      <c r="T281">
        <f>IF($C281="East",1,0)</f>
        <v>0</v>
      </c>
      <c r="U281">
        <f>66915.46892+(1.209928492*E281)+(27.33619482*F281)+(-41243.14883*G281)+(3508.399163*H281)+(3062.210286*I281)+(-3438.10791*J281)+(15157.28728*K281)+(12509.46131*L281)+(20219.25907*O281)+(32832.85351*P281)+(44695.0949*Q281)+(-15342.70531*R281)+(-4201.853217*S281)+(-25291.41891*T281)</f>
        <v>795755.85577051935</v>
      </c>
      <c r="V281">
        <f>M281-U281</f>
        <v>44352.264229480643</v>
      </c>
      <c r="W281">
        <f>V281^2</f>
        <v>1967123342.2816682</v>
      </c>
    </row>
    <row r="282" spans="1:23">
      <c r="A282" t="s">
        <v>98</v>
      </c>
      <c r="B282" s="2">
        <v>45658</v>
      </c>
      <c r="C282" t="s">
        <v>24</v>
      </c>
      <c r="D282" t="s">
        <v>16</v>
      </c>
      <c r="E282">
        <v>54948.02</v>
      </c>
      <c r="F282">
        <v>6534</v>
      </c>
      <c r="G282">
        <v>0.183</v>
      </c>
      <c r="H282">
        <v>14</v>
      </c>
      <c r="I282">
        <v>94.5</v>
      </c>
      <c r="J282">
        <v>1.56</v>
      </c>
      <c r="K282">
        <v>0</v>
      </c>
      <c r="L282">
        <v>4</v>
      </c>
      <c r="M282">
        <v>727957.48</v>
      </c>
      <c r="N282">
        <v>74805.23</v>
      </c>
      <c r="O282">
        <f>IF($D282="High Street",1,0)</f>
        <v>0</v>
      </c>
      <c r="P282">
        <f>IF($D282="Mall",1,0)</f>
        <v>0</v>
      </c>
      <c r="Q282">
        <f>IF($D282="Airport",1,0)</f>
        <v>0</v>
      </c>
      <c r="R282">
        <f>IF($C282="North",1,0)</f>
        <v>0</v>
      </c>
      <c r="S282">
        <f>IF($C282="South",1,0)</f>
        <v>1</v>
      </c>
      <c r="T282">
        <f>IF($C282="East",1,0)</f>
        <v>0</v>
      </c>
      <c r="U282">
        <f>66915.46892+(1.209928492*E282)+(27.33619482*F282)+(-41243.14883*G282)+(3508.399163*H282)+(3062.210286*I282)+(-3438.10791*J282)+(15157.28728*K282)+(12509.46131*L282)+(20219.25907*O282)+(32832.85351*P282)+(44695.0949*Q282)+(-15342.70531*R282)+(-4201.853217*S282)+(-25291.41891*T282)</f>
        <v>683434.84860737587</v>
      </c>
      <c r="V282">
        <f>M282-U282</f>
        <v>44522.631392624113</v>
      </c>
      <c r="W282">
        <f>V282^2</f>
        <v>1982264706.1234782</v>
      </c>
    </row>
    <row r="283" spans="1:23">
      <c r="A283" t="s">
        <v>63</v>
      </c>
      <c r="B283" s="2">
        <v>45658</v>
      </c>
      <c r="C283" t="s">
        <v>20</v>
      </c>
      <c r="D283" t="s">
        <v>28</v>
      </c>
      <c r="E283">
        <v>72150.53</v>
      </c>
      <c r="F283">
        <v>9323</v>
      </c>
      <c r="G283">
        <v>0.157</v>
      </c>
      <c r="H283">
        <v>22</v>
      </c>
      <c r="I283">
        <v>82.9</v>
      </c>
      <c r="J283">
        <v>11.37</v>
      </c>
      <c r="K283">
        <v>1</v>
      </c>
      <c r="L283">
        <v>4.3</v>
      </c>
      <c r="M283">
        <v>825797.91</v>
      </c>
      <c r="N283">
        <v>130945.24</v>
      </c>
      <c r="O283">
        <f>IF($D283="High Street",1,0)</f>
        <v>0</v>
      </c>
      <c r="P283">
        <f>IF($D283="Mall",1,0)</f>
        <v>1</v>
      </c>
      <c r="Q283">
        <f>IF($D283="Airport",1,0)</f>
        <v>0</v>
      </c>
      <c r="R283">
        <f>IF($C283="North",1,0)</f>
        <v>1</v>
      </c>
      <c r="S283">
        <f>IF($C283="South",1,0)</f>
        <v>0</v>
      </c>
      <c r="T283">
        <f>IF($C283="East",1,0)</f>
        <v>0</v>
      </c>
      <c r="U283">
        <f>66915.46892+(1.209928492*E283)+(27.33619482*F283)+(-41243.14883*G283)+(3508.399163*H283)+(3062.210286*I283)+(-3438.10791*J283)+(15157.28728*K283)+(12509.46131*L283)+(20219.25907*O283)+(32832.85351*P283)+(44695.0949*Q283)+(-15342.70531*R283)+(-4201.853217*S283)+(-25291.41891*T283)</f>
        <v>780981.46729215083</v>
      </c>
      <c r="V283">
        <f>M283-U283</f>
        <v>44816.442707849201</v>
      </c>
      <c r="W283">
        <f>V283^2</f>
        <v>2008513536.9859297</v>
      </c>
    </row>
    <row r="284" spans="1:23">
      <c r="A284" t="s">
        <v>56</v>
      </c>
      <c r="B284" s="2">
        <v>45717</v>
      </c>
      <c r="C284" t="s">
        <v>24</v>
      </c>
      <c r="D284" t="s">
        <v>16</v>
      </c>
      <c r="E284">
        <v>69779</v>
      </c>
      <c r="F284">
        <v>6544</v>
      </c>
      <c r="G284">
        <v>0.152</v>
      </c>
      <c r="H284">
        <v>18</v>
      </c>
      <c r="I284">
        <v>90.2</v>
      </c>
      <c r="J284">
        <v>0.85</v>
      </c>
      <c r="K284">
        <v>1</v>
      </c>
      <c r="L284">
        <v>3.3</v>
      </c>
      <c r="M284">
        <v>758827.64</v>
      </c>
      <c r="N284">
        <v>161439.48000000001</v>
      </c>
      <c r="O284">
        <f>IF($D284="High Street",1,0)</f>
        <v>0</v>
      </c>
      <c r="P284">
        <f>IF($D284="Mall",1,0)</f>
        <v>0</v>
      </c>
      <c r="Q284">
        <f>IF($D284="Airport",1,0)</f>
        <v>0</v>
      </c>
      <c r="R284">
        <f>IF($C284="North",1,0)</f>
        <v>0</v>
      </c>
      <c r="S284">
        <f>IF($C284="South",1,0)</f>
        <v>1</v>
      </c>
      <c r="T284">
        <f>IF($C284="East",1,0)</f>
        <v>0</v>
      </c>
      <c r="U284">
        <f>66915.46892+(1.209928492*E284)+(27.33619482*F284)+(-41243.14883*G284)+(3508.399163*H284)+(3062.210286*I284)+(-3438.10791*J284)+(15157.28728*K284)+(12509.46131*L284)+(20219.25907*O284)+(32832.85351*P284)+(44695.0949*Q284)+(-15342.70531*R284)+(-4201.853217*S284)+(-25291.41891*T284)</f>
        <v>712638.98683688801</v>
      </c>
      <c r="V284">
        <f>M284-U284</f>
        <v>46188.653163112001</v>
      </c>
      <c r="W284">
        <f>V284^2</f>
        <v>2133391681.0222564</v>
      </c>
    </row>
    <row r="285" spans="1:23">
      <c r="A285" t="s">
        <v>73</v>
      </c>
      <c r="B285" s="2">
        <v>45689</v>
      </c>
      <c r="C285" t="s">
        <v>15</v>
      </c>
      <c r="D285" t="s">
        <v>28</v>
      </c>
      <c r="E285">
        <v>54300.87</v>
      </c>
      <c r="F285">
        <v>7875</v>
      </c>
      <c r="G285">
        <v>0.107</v>
      </c>
      <c r="H285">
        <v>19</v>
      </c>
      <c r="I285">
        <v>94.1</v>
      </c>
      <c r="J285">
        <v>0.95</v>
      </c>
      <c r="K285">
        <v>0</v>
      </c>
      <c r="L285">
        <v>3.7</v>
      </c>
      <c r="M285">
        <v>795464.47</v>
      </c>
      <c r="N285">
        <v>161150.51999999999</v>
      </c>
      <c r="O285">
        <f>IF($D285="High Street",1,0)</f>
        <v>0</v>
      </c>
      <c r="P285">
        <f>IF($D285="Mall",1,0)</f>
        <v>1</v>
      </c>
      <c r="Q285">
        <f>IF($D285="Airport",1,0)</f>
        <v>0</v>
      </c>
      <c r="R285">
        <f>IF($C285="North",1,0)</f>
        <v>0</v>
      </c>
      <c r="S285">
        <f>IF($C285="South",1,0)</f>
        <v>0</v>
      </c>
      <c r="T285">
        <f>IF($C285="East",1,0)</f>
        <v>1</v>
      </c>
      <c r="U285">
        <f>66915.46892+(1.209928492*E285)+(27.33619482*F285)+(-41243.14883*G285)+(3508.399163*H285)+(3062.210286*I285)+(-3438.10791*J285)+(15157.28728*K285)+(12509.46131*L285)+(20219.25907*O285)+(32832.85351*P285)+(44695.0949*Q285)+(-15342.70531*R285)+(-4201.853217*S285)+(-25291.41891*T285)</f>
        <v>748848.9668981781</v>
      </c>
      <c r="V285">
        <f>M285-U285</f>
        <v>46615.503101821872</v>
      </c>
      <c r="W285">
        <f>V285^2</f>
        <v>2173005129.4359646</v>
      </c>
    </row>
    <row r="286" spans="1:23">
      <c r="A286" t="s">
        <v>100</v>
      </c>
      <c r="B286" s="2">
        <v>45748</v>
      </c>
      <c r="C286" t="s">
        <v>20</v>
      </c>
      <c r="D286" t="s">
        <v>16</v>
      </c>
      <c r="E286">
        <v>66456.28</v>
      </c>
      <c r="F286">
        <v>9967</v>
      </c>
      <c r="G286">
        <v>0.108</v>
      </c>
      <c r="H286">
        <v>20</v>
      </c>
      <c r="I286">
        <v>94.7</v>
      </c>
      <c r="J286">
        <v>4.4800000000000004</v>
      </c>
      <c r="K286">
        <v>0</v>
      </c>
      <c r="L286">
        <v>4.2</v>
      </c>
      <c r="M286">
        <v>844710.67</v>
      </c>
      <c r="N286">
        <v>137140.18</v>
      </c>
      <c r="O286">
        <f>IF($D286="High Street",1,0)</f>
        <v>0</v>
      </c>
      <c r="P286">
        <f>IF($D286="Mall",1,0)</f>
        <v>0</v>
      </c>
      <c r="Q286">
        <f>IF($D286="Airport",1,0)</f>
        <v>0</v>
      </c>
      <c r="R286">
        <f>IF($C286="North",1,0)</f>
        <v>1</v>
      </c>
      <c r="S286">
        <f>IF($C286="South",1,0)</f>
        <v>0</v>
      </c>
      <c r="T286">
        <f>IF($C286="East",1,0)</f>
        <v>0</v>
      </c>
      <c r="U286">
        <f>66915.46892+(1.209928492*E286)+(27.33619482*F286)+(-41243.14883*G286)+(3508.399163*H286)+(3062.210286*I286)+(-3438.10791*J286)+(15157.28728*K286)+(12509.46131*L286)+(20219.25907*O286)+(32832.85351*P286)+(44695.0949*Q286)+(-15342.70531*R286)+(-4201.853217*S286)+(-25291.41891*T286)</f>
        <v>797282.01536102977</v>
      </c>
      <c r="V286">
        <f>M286-U286</f>
        <v>47428.654638970271</v>
      </c>
      <c r="W286">
        <f>V286^2</f>
        <v>2249477280.8627162</v>
      </c>
    </row>
    <row r="287" spans="1:23">
      <c r="A287" t="s">
        <v>42</v>
      </c>
      <c r="B287" s="2">
        <v>45717</v>
      </c>
      <c r="C287" t="s">
        <v>27</v>
      </c>
      <c r="D287" t="s">
        <v>28</v>
      </c>
      <c r="E287">
        <v>72731.14</v>
      </c>
      <c r="F287">
        <v>4644</v>
      </c>
      <c r="G287">
        <v>8.4000000000000005E-2</v>
      </c>
      <c r="H287">
        <v>15</v>
      </c>
      <c r="I287">
        <v>87.1</v>
      </c>
      <c r="J287">
        <v>2.66</v>
      </c>
      <c r="K287">
        <v>0</v>
      </c>
      <c r="L287">
        <v>4.5999999999999996</v>
      </c>
      <c r="M287">
        <v>727241.86</v>
      </c>
      <c r="N287">
        <v>155810.29999999999</v>
      </c>
      <c r="O287">
        <f>IF($D287="High Street",1,0)</f>
        <v>0</v>
      </c>
      <c r="P287">
        <f>IF($D287="Mall",1,0)</f>
        <v>1</v>
      </c>
      <c r="Q287">
        <f>IF($D287="Airport",1,0)</f>
        <v>0</v>
      </c>
      <c r="R287">
        <f>IF($C287="North",1,0)</f>
        <v>0</v>
      </c>
      <c r="S287">
        <f>IF($C287="South",1,0)</f>
        <v>0</v>
      </c>
      <c r="T287">
        <f>IF($C287="East",1,0)</f>
        <v>0</v>
      </c>
      <c r="U287">
        <f>66915.46892+(1.209928492*E287)+(27.33619482*F287)+(-41243.14883*G287)+(3508.399163*H287)+(3062.210286*I287)+(-3438.10791*J287)+(15157.28728*K287)+(12509.46131*L287)+(20219.25907*O287)+(32832.85351*P287)+(44695.0949*Q287)+(-15342.70531*R287)+(-4201.853217*S287)+(-25291.41891*T287)</f>
        <v>678975.32355500082</v>
      </c>
      <c r="V287">
        <f>M287-U287</f>
        <v>48266.536444999161</v>
      </c>
      <c r="W287">
        <f>V287^2</f>
        <v>2329658540.3964324</v>
      </c>
    </row>
    <row r="288" spans="1:23">
      <c r="A288" t="s">
        <v>65</v>
      </c>
      <c r="B288" s="2">
        <v>45658</v>
      </c>
      <c r="C288" t="s">
        <v>15</v>
      </c>
      <c r="D288" t="s">
        <v>16</v>
      </c>
      <c r="E288">
        <v>65237.79</v>
      </c>
      <c r="F288">
        <v>8741</v>
      </c>
      <c r="G288">
        <v>0.157</v>
      </c>
      <c r="H288">
        <v>20</v>
      </c>
      <c r="I288">
        <v>94.4</v>
      </c>
      <c r="J288">
        <v>6.43</v>
      </c>
      <c r="K288">
        <v>0</v>
      </c>
      <c r="L288">
        <v>3.3</v>
      </c>
      <c r="M288">
        <v>780344.18</v>
      </c>
      <c r="N288">
        <v>118239.09</v>
      </c>
      <c r="O288">
        <f>IF($D288="High Street",1,0)</f>
        <v>0</v>
      </c>
      <c r="P288">
        <f>IF($D288="Mall",1,0)</f>
        <v>0</v>
      </c>
      <c r="Q288">
        <f>IF($D288="Airport",1,0)</f>
        <v>0</v>
      </c>
      <c r="R288">
        <f>IF($C288="North",1,0)</f>
        <v>0</v>
      </c>
      <c r="S288">
        <f>IF($C288="South",1,0)</f>
        <v>0</v>
      </c>
      <c r="T288">
        <f>IF($C288="East",1,0)</f>
        <v>1</v>
      </c>
      <c r="U288">
        <f>66915.46892+(1.209928492*E288)+(27.33619482*F288)+(-41243.14883*G288)+(3508.399163*H288)+(3062.210286*I288)+(-3438.10791*J288)+(15157.28728*K288)+(12509.46131*L288)+(20219.25907*O288)+(32832.85351*P288)+(44695.0949*Q288)+(-15342.70531*R288)+(-4201.853217*S288)+(-25291.41891*T288)</f>
        <v>731442.43816152262</v>
      </c>
      <c r="V288">
        <f>M288-U288</f>
        <v>48901.741838477436</v>
      </c>
      <c r="W288">
        <f>V288^2</f>
        <v>2391380354.8370943</v>
      </c>
    </row>
    <row r="289" spans="1:23">
      <c r="A289" t="s">
        <v>41</v>
      </c>
      <c r="B289" s="2">
        <v>45689</v>
      </c>
      <c r="C289" t="s">
        <v>24</v>
      </c>
      <c r="D289" t="s">
        <v>18</v>
      </c>
      <c r="E289">
        <v>54872.82</v>
      </c>
      <c r="F289">
        <v>5962</v>
      </c>
      <c r="G289">
        <v>6.4000000000000001E-2</v>
      </c>
      <c r="H289">
        <v>12</v>
      </c>
      <c r="I289">
        <v>85.4</v>
      </c>
      <c r="J289">
        <v>2.58</v>
      </c>
      <c r="K289">
        <v>0</v>
      </c>
      <c r="L289">
        <v>2.9</v>
      </c>
      <c r="M289">
        <v>691112.6</v>
      </c>
      <c r="N289">
        <v>109212.83</v>
      </c>
      <c r="O289">
        <f>IF($D289="High Street",1,0)</f>
        <v>1</v>
      </c>
      <c r="P289">
        <f>IF($D289="Mall",1,0)</f>
        <v>0</v>
      </c>
      <c r="Q289">
        <f>IF($D289="Airport",1,0)</f>
        <v>0</v>
      </c>
      <c r="R289">
        <f>IF($C289="North",1,0)</f>
        <v>0</v>
      </c>
      <c r="S289">
        <f>IF($C289="South",1,0)</f>
        <v>1</v>
      </c>
      <c r="T289">
        <f>IF($C289="East",1,0)</f>
        <v>0</v>
      </c>
      <c r="U289">
        <f>66915.46892+(1.209928492*E289)+(27.33619482*F289)+(-41243.14883*G289)+(3508.399163*H289)+(3062.210286*I289)+(-3438.10791*J289)+(15157.28728*K289)+(12509.46131*L289)+(20219.25907*O289)+(32832.85351*P289)+(44695.0949*Q289)+(-15342.70531*R289)+(-4201.853217*S289)+(-25291.41891*T289)</f>
        <v>640684.56289070728</v>
      </c>
      <c r="V289">
        <f>M289-U289</f>
        <v>50428.037109292694</v>
      </c>
      <c r="W289">
        <f>V289^2</f>
        <v>2542986926.6962008</v>
      </c>
    </row>
    <row r="290" spans="1:23">
      <c r="A290" t="s">
        <v>97</v>
      </c>
      <c r="B290" s="2">
        <v>45748</v>
      </c>
      <c r="C290" t="s">
        <v>20</v>
      </c>
      <c r="D290" t="s">
        <v>28</v>
      </c>
      <c r="E290">
        <v>31997.25</v>
      </c>
      <c r="F290">
        <v>8183</v>
      </c>
      <c r="G290">
        <v>0.19800000000000001</v>
      </c>
      <c r="H290">
        <v>18</v>
      </c>
      <c r="I290">
        <v>93</v>
      </c>
      <c r="J290">
        <v>2.79</v>
      </c>
      <c r="K290">
        <v>0</v>
      </c>
      <c r="L290">
        <v>4.2</v>
      </c>
      <c r="M290">
        <v>780580.95</v>
      </c>
      <c r="N290">
        <v>138144.46</v>
      </c>
      <c r="O290">
        <f>IF($D290="High Street",1,0)</f>
        <v>0</v>
      </c>
      <c r="P290">
        <f>IF($D290="Mall",1,0)</f>
        <v>1</v>
      </c>
      <c r="Q290">
        <f>IF($D290="Airport",1,0)</f>
        <v>0</v>
      </c>
      <c r="R290">
        <f>IF($C290="North",1,0)</f>
        <v>1</v>
      </c>
      <c r="S290">
        <f>IF($C290="South",1,0)</f>
        <v>0</v>
      </c>
      <c r="T290">
        <f>IF($C290="East",1,0)</f>
        <v>0</v>
      </c>
      <c r="U290">
        <f>66915.46892+(1.209928492*E290)+(27.33619482*F290)+(-41243.14883*G290)+(3508.399163*H290)+(3062.210286*I290)+(-3438.10791*J290)+(15157.28728*K290)+(12509.46131*L290)+(20219.25907*O290)+(32832.85351*P290)+(44695.0949*Q290)+(-15342.70531*R290)+(-4201.853217*S290)+(-25291.41891*T290)</f>
        <v>729530.09826946689</v>
      </c>
      <c r="V290">
        <f>M290-U290</f>
        <v>51050.851730533061</v>
      </c>
      <c r="W290">
        <f>V290^2</f>
        <v>2606189462.4128704</v>
      </c>
    </row>
    <row r="291" spans="1:23">
      <c r="A291" t="s">
        <v>66</v>
      </c>
      <c r="B291" s="2">
        <v>45689</v>
      </c>
      <c r="C291" t="s">
        <v>27</v>
      </c>
      <c r="D291" t="s">
        <v>21</v>
      </c>
      <c r="E291">
        <v>29389.32</v>
      </c>
      <c r="F291">
        <v>7925</v>
      </c>
      <c r="G291">
        <v>0.17699999999999999</v>
      </c>
      <c r="H291">
        <v>21</v>
      </c>
      <c r="I291">
        <v>90.9</v>
      </c>
      <c r="J291">
        <v>7.86</v>
      </c>
      <c r="K291">
        <v>0</v>
      </c>
      <c r="L291">
        <v>4</v>
      </c>
      <c r="M291">
        <v>783582</v>
      </c>
      <c r="N291">
        <v>130670.93</v>
      </c>
      <c r="O291">
        <f>IF($D291="High Street",1,0)</f>
        <v>0</v>
      </c>
      <c r="P291">
        <f>IF($D291="Mall",1,0)</f>
        <v>0</v>
      </c>
      <c r="Q291">
        <f>IF($D291="Airport",1,0)</f>
        <v>1</v>
      </c>
      <c r="R291">
        <f>IF($C291="North",1,0)</f>
        <v>0</v>
      </c>
      <c r="S291">
        <f>IF($C291="South",1,0)</f>
        <v>0</v>
      </c>
      <c r="T291">
        <f>IF($C291="East",1,0)</f>
        <v>0</v>
      </c>
      <c r="U291">
        <f>66915.46892+(1.209928492*E291)+(27.33619482*F291)+(-41243.14883*G291)+(3508.399163*H291)+(3062.210286*I291)+(-3438.10791*J291)+(15157.28728*K291)+(12509.46131*L291)+(20219.25907*O291)+(32832.85351*P291)+(44695.0949*Q291)+(-15342.70531*R291)+(-4201.853217*S291)+(-25291.41891*T291)</f>
        <v>731554.46054189559</v>
      </c>
      <c r="V291">
        <f>M291-U291</f>
        <v>52027.539458104409</v>
      </c>
      <c r="W291">
        <f>V291^2</f>
        <v>2706864862.0646114</v>
      </c>
    </row>
    <row r="292" spans="1:23">
      <c r="A292" t="s">
        <v>45</v>
      </c>
      <c r="B292" s="2">
        <v>45717</v>
      </c>
      <c r="C292" t="s">
        <v>27</v>
      </c>
      <c r="D292" t="s">
        <v>16</v>
      </c>
      <c r="E292">
        <v>86421.88</v>
      </c>
      <c r="F292">
        <v>7970</v>
      </c>
      <c r="G292">
        <v>7.2999999999999995E-2</v>
      </c>
      <c r="H292">
        <v>17</v>
      </c>
      <c r="I292">
        <v>91.3</v>
      </c>
      <c r="J292">
        <v>0.8</v>
      </c>
      <c r="K292">
        <v>0</v>
      </c>
      <c r="L292">
        <v>5</v>
      </c>
      <c r="M292">
        <v>838250.32</v>
      </c>
      <c r="N292">
        <v>122939.34</v>
      </c>
      <c r="O292">
        <f>IF($D292="High Street",1,0)</f>
        <v>0</v>
      </c>
      <c r="P292">
        <f>IF($D292="Mall",1,0)</f>
        <v>0</v>
      </c>
      <c r="Q292">
        <f>IF($D292="Airport",1,0)</f>
        <v>0</v>
      </c>
      <c r="R292">
        <f>IF($C292="North",1,0)</f>
        <v>0</v>
      </c>
      <c r="S292">
        <f>IF($C292="South",1,0)</f>
        <v>0</v>
      </c>
      <c r="T292">
        <f>IF($C292="East",1,0)</f>
        <v>0</v>
      </c>
      <c r="U292">
        <f>66915.46892+(1.209928492*E292)+(27.33619482*F292)+(-41243.14883*G292)+(3508.399163*H292)+(3062.210286*I292)+(-3438.10791*J292)+(15157.28728*K292)+(12509.46131*L292)+(20219.25907*O292)+(32832.85351*P292)+(44695.0949*Q292)+(-15342.70531*R292)+(-4201.853217*S292)+(-25291.41891*T292)</f>
        <v>785357.89181981492</v>
      </c>
      <c r="V292">
        <f>M292-U292</f>
        <v>52892.42818018503</v>
      </c>
      <c r="W292">
        <f>V292^2</f>
        <v>2797608958.7960315</v>
      </c>
    </row>
    <row r="293" spans="1:23">
      <c r="A293" t="s">
        <v>53</v>
      </c>
      <c r="B293" s="2">
        <v>45658</v>
      </c>
      <c r="C293" t="s">
        <v>24</v>
      </c>
      <c r="D293" t="s">
        <v>18</v>
      </c>
      <c r="E293">
        <v>61541.21</v>
      </c>
      <c r="F293">
        <v>10396</v>
      </c>
      <c r="G293">
        <v>0.123</v>
      </c>
      <c r="H293">
        <v>25</v>
      </c>
      <c r="I293">
        <v>88.1</v>
      </c>
      <c r="J293">
        <v>2.34</v>
      </c>
      <c r="K293">
        <v>1</v>
      </c>
      <c r="L293">
        <v>4.8</v>
      </c>
      <c r="M293">
        <v>914544.17</v>
      </c>
      <c r="N293">
        <v>79831.73</v>
      </c>
      <c r="O293">
        <f>IF($D293="High Street",1,0)</f>
        <v>1</v>
      </c>
      <c r="P293">
        <f>IF($D293="Mall",1,0)</f>
        <v>0</v>
      </c>
      <c r="Q293">
        <f>IF($D293="Airport",1,0)</f>
        <v>0</v>
      </c>
      <c r="R293">
        <f>IF($C293="North",1,0)</f>
        <v>0</v>
      </c>
      <c r="S293">
        <f>IF($C293="South",1,0)</f>
        <v>1</v>
      </c>
      <c r="T293">
        <f>IF($C293="East",1,0)</f>
        <v>0</v>
      </c>
      <c r="U293">
        <f>66915.46892+(1.209928492*E293)+(27.33619482*F293)+(-41243.14883*G293)+(3508.399163*H293)+(3062.210286*I293)+(-3438.10791*J293)+(15157.28728*K293)+(12509.46131*L293)+(20219.25907*O293)+(32832.85351*P293)+(44695.0949*Q293)+(-15342.70531*R293)+(-4201.853217*S293)+(-25291.41891*T293)</f>
        <v>861155.74655698531</v>
      </c>
      <c r="V293">
        <f>M293-U293</f>
        <v>53388.423443014733</v>
      </c>
      <c r="W293">
        <f>V293^2</f>
        <v>2850323757.7306452</v>
      </c>
    </row>
    <row r="294" spans="1:23">
      <c r="A294" t="s">
        <v>61</v>
      </c>
      <c r="B294" s="2">
        <v>45717</v>
      </c>
      <c r="C294" t="s">
        <v>20</v>
      </c>
      <c r="D294" t="s">
        <v>28</v>
      </c>
      <c r="E294">
        <v>56918.16</v>
      </c>
      <c r="F294">
        <v>7015</v>
      </c>
      <c r="G294">
        <v>0.158</v>
      </c>
      <c r="H294">
        <v>18</v>
      </c>
      <c r="I294">
        <v>74.2</v>
      </c>
      <c r="J294">
        <v>0.2</v>
      </c>
      <c r="K294">
        <v>0</v>
      </c>
      <c r="L294">
        <v>3.4</v>
      </c>
      <c r="M294">
        <v>724216.07</v>
      </c>
      <c r="N294">
        <v>100627.56</v>
      </c>
      <c r="O294">
        <f>IF($D294="High Street",1,0)</f>
        <v>0</v>
      </c>
      <c r="P294">
        <f>IF($D294="Mall",1,0)</f>
        <v>1</v>
      </c>
      <c r="Q294">
        <f>IF($D294="Airport",1,0)</f>
        <v>0</v>
      </c>
      <c r="R294">
        <f>IF($C294="North",1,0)</f>
        <v>1</v>
      </c>
      <c r="S294">
        <f>IF($C294="South",1,0)</f>
        <v>0</v>
      </c>
      <c r="T294">
        <f>IF($C294="East",1,0)</f>
        <v>0</v>
      </c>
      <c r="U294">
        <f>66915.46892+(1.209928492*E294)+(27.33619482*F294)+(-41243.14883*G294)+(3508.399163*H294)+(3062.210286*I294)+(-3438.10791*J294)+(15157.28728*K294)+(12509.46131*L294)+(20219.25907*O294)+(32832.85351*P294)+(44695.0949*Q294)+(-15342.70531*R294)+(-4201.853217*S294)+(-25291.41891*T294)</f>
        <v>670731.24479057477</v>
      </c>
      <c r="V294">
        <f>M294-U294</f>
        <v>53484.82520942518</v>
      </c>
      <c r="W294">
        <f>V294^2</f>
        <v>2860626527.6827631</v>
      </c>
    </row>
    <row r="295" spans="1:23">
      <c r="A295" t="s">
        <v>69</v>
      </c>
      <c r="B295" s="2">
        <v>45658</v>
      </c>
      <c r="C295" t="s">
        <v>15</v>
      </c>
      <c r="D295" t="s">
        <v>18</v>
      </c>
      <c r="E295">
        <v>71641.899999999994</v>
      </c>
      <c r="F295">
        <v>3506</v>
      </c>
      <c r="G295">
        <v>0</v>
      </c>
      <c r="H295">
        <v>11</v>
      </c>
      <c r="I295">
        <v>86.4</v>
      </c>
      <c r="J295">
        <v>7.77</v>
      </c>
      <c r="K295">
        <v>0</v>
      </c>
      <c r="L295">
        <v>4.0999999999999996</v>
      </c>
      <c r="M295">
        <v>625993.82999999996</v>
      </c>
      <c r="N295">
        <v>98960.320000000007</v>
      </c>
      <c r="O295">
        <f>IF($D295="High Street",1,0)</f>
        <v>1</v>
      </c>
      <c r="P295">
        <f>IF($D295="Mall",1,0)</f>
        <v>0</v>
      </c>
      <c r="Q295">
        <f>IF($D295="Airport",1,0)</f>
        <v>0</v>
      </c>
      <c r="R295">
        <f>IF($C295="North",1,0)</f>
        <v>0</v>
      </c>
      <c r="S295">
        <f>IF($C295="South",1,0)</f>
        <v>0</v>
      </c>
      <c r="T295">
        <f>IF($C295="East",1,0)</f>
        <v>1</v>
      </c>
      <c r="U295">
        <f>66915.46892+(1.209928492*E295)+(27.33619482*F295)+(-41243.14883*G295)+(3508.399163*H295)+(3062.210286*I295)+(-3438.10791*J295)+(15157.28728*K295)+(12509.46131*L295)+(20219.25907*O295)+(32832.85351*P295)+(44695.0949*Q295)+(-15342.70531*R295)+(-4201.853217*S295)+(-25291.41891*T295)</f>
        <v>572107.63656363473</v>
      </c>
      <c r="V295">
        <f>M295-U295</f>
        <v>53886.193436365225</v>
      </c>
      <c r="W295">
        <f>V295^2</f>
        <v>2903721843.0613708</v>
      </c>
    </row>
    <row r="296" spans="1:23">
      <c r="A296" t="s">
        <v>56</v>
      </c>
      <c r="B296" s="2">
        <v>45689</v>
      </c>
      <c r="C296" t="s">
        <v>24</v>
      </c>
      <c r="D296" t="s">
        <v>16</v>
      </c>
      <c r="E296">
        <v>75109.67</v>
      </c>
      <c r="F296">
        <v>6244</v>
      </c>
      <c r="G296">
        <v>7.9000000000000001E-2</v>
      </c>
      <c r="H296">
        <v>15</v>
      </c>
      <c r="I296">
        <v>96.3</v>
      </c>
      <c r="J296">
        <v>7.38</v>
      </c>
      <c r="K296">
        <v>0</v>
      </c>
      <c r="L296">
        <v>3.7</v>
      </c>
      <c r="M296">
        <v>743348.84</v>
      </c>
      <c r="N296">
        <v>104186.09</v>
      </c>
      <c r="O296">
        <f>IF($D296="High Street",1,0)</f>
        <v>0</v>
      </c>
      <c r="P296">
        <f>IF($D296="Mall",1,0)</f>
        <v>0</v>
      </c>
      <c r="Q296">
        <f>IF($D296="Airport",1,0)</f>
        <v>0</v>
      </c>
      <c r="R296">
        <f>IF($C296="North",1,0)</f>
        <v>0</v>
      </c>
      <c r="S296">
        <f>IF($C296="South",1,0)</f>
        <v>1</v>
      </c>
      <c r="T296">
        <f>IF($C296="East",1,0)</f>
        <v>0</v>
      </c>
      <c r="U296">
        <f>66915.46892+(1.209928492*E296)+(27.33619482*F296)+(-41243.14883*G296)+(3508.399163*H296)+(3062.210286*I296)+(-3438.10791*J296)+(15157.28728*K296)+(12509.46131*L296)+(20219.25907*O296)+(32832.85351*P296)+(44695.0949*Q296)+(-15342.70531*R296)+(-4201.853217*S296)+(-25291.41891*T296)</f>
        <v>689448.54561722744</v>
      </c>
      <c r="V296">
        <f>M296-U296</f>
        <v>53900.294382772525</v>
      </c>
      <c r="W296">
        <f>V296^2</f>
        <v>2905241734.5495396</v>
      </c>
    </row>
    <row r="297" spans="1:23">
      <c r="A297" t="s">
        <v>39</v>
      </c>
      <c r="B297" s="2">
        <v>45748</v>
      </c>
      <c r="C297" t="s">
        <v>15</v>
      </c>
      <c r="D297" t="s">
        <v>18</v>
      </c>
      <c r="E297">
        <v>55081.16</v>
      </c>
      <c r="F297">
        <v>5485</v>
      </c>
      <c r="G297">
        <v>3.5999999999999997E-2</v>
      </c>
      <c r="H297">
        <v>12</v>
      </c>
      <c r="I297">
        <v>88</v>
      </c>
      <c r="J297">
        <v>3.3650000000000002</v>
      </c>
      <c r="K297">
        <v>0</v>
      </c>
      <c r="L297">
        <v>3.5</v>
      </c>
      <c r="M297">
        <v>674774.09</v>
      </c>
      <c r="N297">
        <v>141917.59</v>
      </c>
      <c r="O297">
        <f>IF($D297="High Street",1,0)</f>
        <v>1</v>
      </c>
      <c r="P297">
        <f>IF($D297="Mall",1,0)</f>
        <v>0</v>
      </c>
      <c r="Q297">
        <f>IF($D297="Airport",1,0)</f>
        <v>0</v>
      </c>
      <c r="R297">
        <f>IF($C297="North",1,0)</f>
        <v>0</v>
      </c>
      <c r="S297">
        <f>IF($C297="South",1,0)</f>
        <v>0</v>
      </c>
      <c r="T297">
        <f>IF($C297="East",1,0)</f>
        <v>1</v>
      </c>
      <c r="U297">
        <f>66915.46892+(1.209928492*E297)+(27.33619482*F297)+(-41243.14883*G297)+(3508.399163*H297)+(3062.210286*I297)+(-3438.10791*J297)+(15157.28728*K297)+(12509.46131*L297)+(20219.25907*O297)+(32832.85351*P297)+(44695.0949*Q297)+(-15342.70531*R297)+(-4201.853217*S297)+(-25291.41891*T297)</f>
        <v>620731.02575808065</v>
      </c>
      <c r="V297">
        <f>M297-U297</f>
        <v>54043.064241919317</v>
      </c>
      <c r="W297">
        <f>V297^2</f>
        <v>2920652792.6562185</v>
      </c>
    </row>
    <row r="298" spans="1:23">
      <c r="A298" t="s">
        <v>41</v>
      </c>
      <c r="B298" s="2">
        <v>45717</v>
      </c>
      <c r="C298" t="s">
        <v>24</v>
      </c>
      <c r="D298" t="s">
        <v>18</v>
      </c>
      <c r="E298">
        <v>80562.81</v>
      </c>
      <c r="F298">
        <v>7470</v>
      </c>
      <c r="G298">
        <v>0.17199999999999999</v>
      </c>
      <c r="H298">
        <v>16</v>
      </c>
      <c r="I298">
        <v>83.5</v>
      </c>
      <c r="J298">
        <v>2.29</v>
      </c>
      <c r="K298">
        <v>0</v>
      </c>
      <c r="L298">
        <v>3.3</v>
      </c>
      <c r="M298">
        <v>776922.17</v>
      </c>
      <c r="N298">
        <v>150701.93</v>
      </c>
      <c r="O298">
        <f>IF($D298="High Street",1,0)</f>
        <v>1</v>
      </c>
      <c r="P298">
        <f>IF($D298="Mall",1,0)</f>
        <v>0</v>
      </c>
      <c r="Q298">
        <f>IF($D298="Airport",1,0)</f>
        <v>0</v>
      </c>
      <c r="R298">
        <f>IF($C298="North",1,0)</f>
        <v>0</v>
      </c>
      <c r="S298">
        <f>IF($C298="South",1,0)</f>
        <v>1</v>
      </c>
      <c r="T298">
        <f>IF($C298="East",1,0)</f>
        <v>0</v>
      </c>
      <c r="U298">
        <f>66915.46892+(1.209928492*E298)+(27.33619482*F298)+(-41243.14883*G298)+(3508.399163*H298)+(3062.210286*I298)+(-3438.10791*J298)+(15157.28728*K298)+(12509.46131*L298)+(20219.25907*O298)+(32832.85351*P298)+(44695.0949*Q298)+(-15342.70531*R298)+(-4201.853217*S298)+(-25291.41891*T298)</f>
        <v>722752.5683923224</v>
      </c>
      <c r="V298">
        <f>M298-U298</f>
        <v>54169.601607677643</v>
      </c>
      <c r="W298">
        <f>V298^2</f>
        <v>2934345738.3345122</v>
      </c>
    </row>
    <row r="299" spans="1:23">
      <c r="A299" t="s">
        <v>66</v>
      </c>
      <c r="B299" s="2">
        <v>45748</v>
      </c>
      <c r="C299" t="s">
        <v>27</v>
      </c>
      <c r="D299" t="s">
        <v>21</v>
      </c>
      <c r="E299">
        <v>74881.56</v>
      </c>
      <c r="F299">
        <v>9999</v>
      </c>
      <c r="G299">
        <v>1.2999999999999999E-2</v>
      </c>
      <c r="H299">
        <v>20</v>
      </c>
      <c r="I299">
        <v>89.6</v>
      </c>
      <c r="J299">
        <v>8.44</v>
      </c>
      <c r="K299">
        <v>0</v>
      </c>
      <c r="L299">
        <v>4.0999999999999996</v>
      </c>
      <c r="M299">
        <v>898031.04</v>
      </c>
      <c r="N299">
        <v>138666.5</v>
      </c>
      <c r="O299">
        <f>IF($D299="High Street",1,0)</f>
        <v>0</v>
      </c>
      <c r="P299">
        <f>IF($D299="Mall",1,0)</f>
        <v>0</v>
      </c>
      <c r="Q299">
        <f>IF($D299="Airport",1,0)</f>
        <v>1</v>
      </c>
      <c r="R299">
        <f>IF($C299="North",1,0)</f>
        <v>0</v>
      </c>
      <c r="S299">
        <f>IF($C299="South",1,0)</f>
        <v>0</v>
      </c>
      <c r="T299">
        <f>IF($C299="East",1,0)</f>
        <v>0</v>
      </c>
      <c r="U299">
        <f>66915.46892+(1.209928492*E299)+(27.33619482*F299)+(-41243.14883*G299)+(3508.399163*H299)+(3062.210286*I299)+(-3438.10791*J299)+(15157.28728*K299)+(12509.46131*L299)+(20219.25907*O299)+(32832.85351*P299)+(44695.0949*Q299)+(-15342.70531*R299)+(-4201.853217*S299)+(-25291.41891*T299)</f>
        <v>841823.53335599753</v>
      </c>
      <c r="V299">
        <f>M299-U299</f>
        <v>56207.506644002511</v>
      </c>
      <c r="W299">
        <f>V299^2</f>
        <v>3159283803.1355863</v>
      </c>
    </row>
    <row r="300" spans="1:23">
      <c r="A300" t="s">
        <v>71</v>
      </c>
      <c r="B300" s="2">
        <v>45658</v>
      </c>
      <c r="C300" t="s">
        <v>20</v>
      </c>
      <c r="D300" t="s">
        <v>16</v>
      </c>
      <c r="E300">
        <v>71851.45</v>
      </c>
      <c r="F300">
        <v>4970</v>
      </c>
      <c r="G300">
        <v>9.8000000000000004E-2</v>
      </c>
      <c r="H300">
        <v>11</v>
      </c>
      <c r="I300">
        <v>89.6</v>
      </c>
      <c r="J300">
        <v>0.2</v>
      </c>
      <c r="K300">
        <v>0</v>
      </c>
      <c r="L300">
        <v>4.2</v>
      </c>
      <c r="M300">
        <v>691447.43</v>
      </c>
      <c r="N300">
        <v>114077.69</v>
      </c>
      <c r="O300">
        <f>IF($D300="High Street",1,0)</f>
        <v>0</v>
      </c>
      <c r="P300">
        <f>IF($D300="Mall",1,0)</f>
        <v>0</v>
      </c>
      <c r="Q300">
        <f>IF($D300="Airport",1,0)</f>
        <v>0</v>
      </c>
      <c r="R300">
        <f>IF($C300="North",1,0)</f>
        <v>1</v>
      </c>
      <c r="S300">
        <f>IF($C300="South",1,0)</f>
        <v>0</v>
      </c>
      <c r="T300">
        <f>IF($C300="East",1,0)</f>
        <v>0</v>
      </c>
      <c r="U300">
        <f>66915.46892+(1.209928492*E300)+(27.33619482*F300)+(-41243.14883*G300)+(3508.399163*H300)+(3062.210286*I300)+(-3438.10791*J300)+(15157.28728*K300)+(12509.46131*L300)+(20219.25907*O300)+(32832.85351*P300)+(44695.0949*Q300)+(-15342.70531*R300)+(-4201.853217*S300)+(-25291.41891*T300)</f>
        <v>635145.48816517333</v>
      </c>
      <c r="V300">
        <f>M300-U300</f>
        <v>56301.941834826721</v>
      </c>
      <c r="W300">
        <f>V300^2</f>
        <v>3169908654.3722115</v>
      </c>
    </row>
    <row r="301" spans="1:23">
      <c r="A301" t="s">
        <v>19</v>
      </c>
      <c r="B301" s="2">
        <v>45658</v>
      </c>
      <c r="C301" t="s">
        <v>20</v>
      </c>
      <c r="D301" t="s">
        <v>21</v>
      </c>
      <c r="E301">
        <v>71838.86</v>
      </c>
      <c r="F301">
        <v>10979</v>
      </c>
      <c r="G301">
        <v>0.215</v>
      </c>
      <c r="H301">
        <v>26</v>
      </c>
      <c r="I301">
        <v>88.6</v>
      </c>
      <c r="J301">
        <v>7.7</v>
      </c>
      <c r="K301">
        <v>1</v>
      </c>
      <c r="L301">
        <v>3.8</v>
      </c>
      <c r="M301">
        <v>930581.7</v>
      </c>
      <c r="N301">
        <v>136207.98000000001</v>
      </c>
      <c r="O301">
        <f>IF($D301="High Street",1,0)</f>
        <v>0</v>
      </c>
      <c r="P301">
        <f>IF($D301="Mall",1,0)</f>
        <v>0</v>
      </c>
      <c r="Q301">
        <f>IF($D301="Airport",1,0)</f>
        <v>1</v>
      </c>
      <c r="R301">
        <f>IF($C301="North",1,0)</f>
        <v>1</v>
      </c>
      <c r="S301">
        <f>IF($C301="South",1,0)</f>
        <v>0</v>
      </c>
      <c r="T301">
        <f>IF($C301="East",1,0)</f>
        <v>0</v>
      </c>
      <c r="U301">
        <f>66915.46892+(1.209928492*E301)+(27.33619482*F301)+(-41243.14883*G301)+(3508.399163*H301)+(3062.210286*I301)+(-3438.10791*J301)+(15157.28728*K301)+(12509.46131*L301)+(20219.25907*O301)+(32832.85351*P301)+(44695.0949*Q301)+(-15342.70531*R301)+(-4201.853217*S301)+(-25291.41891*T301)</f>
        <v>873194.5669157292</v>
      </c>
      <c r="V301">
        <f>M301-U301</f>
        <v>57387.133084270754</v>
      </c>
      <c r="W301">
        <f>V301^2</f>
        <v>3293283043.631803</v>
      </c>
    </row>
    <row r="302" spans="1:23">
      <c r="A302" t="s">
        <v>17</v>
      </c>
      <c r="B302" s="2">
        <v>45748</v>
      </c>
      <c r="C302" t="s">
        <v>15</v>
      </c>
      <c r="D302" t="s">
        <v>18</v>
      </c>
      <c r="E302">
        <v>68148.52</v>
      </c>
      <c r="F302">
        <v>8567</v>
      </c>
      <c r="G302">
        <v>0.127</v>
      </c>
      <c r="H302">
        <v>23</v>
      </c>
      <c r="I302">
        <v>95.6</v>
      </c>
      <c r="J302">
        <v>0.8</v>
      </c>
      <c r="K302">
        <v>0</v>
      </c>
      <c r="L302">
        <v>3.9</v>
      </c>
      <c r="M302">
        <v>850164.26</v>
      </c>
      <c r="N302">
        <v>149262.75</v>
      </c>
      <c r="O302">
        <f>IF($D302="High Street",1,0)</f>
        <v>1</v>
      </c>
      <c r="P302">
        <f>IF($D302="Mall",1,0)</f>
        <v>0</v>
      </c>
      <c r="Q302">
        <f>IF($D302="Airport",1,0)</f>
        <v>0</v>
      </c>
      <c r="R302">
        <f>IF($C302="North",1,0)</f>
        <v>0</v>
      </c>
      <c r="S302">
        <f>IF($C302="South",1,0)</f>
        <v>0</v>
      </c>
      <c r="T302">
        <f>IF($C302="East",1,0)</f>
        <v>1</v>
      </c>
      <c r="U302">
        <f>66915.46892+(1.209928492*E302)+(27.33619482*F302)+(-41243.14883*G302)+(3508.399163*H302)+(3062.210286*I302)+(-3438.10791*J302)+(15157.28728*K302)+(12509.46131*L302)+(20219.25907*O302)+(32832.85351*P302)+(44695.0949*Q302)+(-15342.70531*R302)+(-4201.853217*S302)+(-25291.41891*T302)</f>
        <v>792726.34310876182</v>
      </c>
      <c r="V302">
        <f>M302-U302</f>
        <v>57437.916891238187</v>
      </c>
      <c r="W302">
        <f>V302^2</f>
        <v>3299114296.8047848</v>
      </c>
    </row>
    <row r="303" spans="1:23">
      <c r="A303" t="s">
        <v>87</v>
      </c>
      <c r="B303" s="2">
        <v>45717</v>
      </c>
      <c r="C303" t="s">
        <v>27</v>
      </c>
      <c r="D303" t="s">
        <v>18</v>
      </c>
      <c r="E303">
        <v>51450.55</v>
      </c>
      <c r="F303">
        <v>4902</v>
      </c>
      <c r="G303">
        <v>8.5999999999999993E-2</v>
      </c>
      <c r="H303">
        <v>11</v>
      </c>
      <c r="I303">
        <v>83.7</v>
      </c>
      <c r="J303">
        <v>6.92</v>
      </c>
      <c r="K303">
        <v>1</v>
      </c>
      <c r="L303">
        <v>4.2</v>
      </c>
      <c r="M303">
        <v>677640.65</v>
      </c>
      <c r="N303">
        <v>111610.89</v>
      </c>
      <c r="O303">
        <f>IF($D303="High Street",1,0)</f>
        <v>1</v>
      </c>
      <c r="P303">
        <f>IF($D303="Mall",1,0)</f>
        <v>0</v>
      </c>
      <c r="Q303">
        <f>IF($D303="Airport",1,0)</f>
        <v>0</v>
      </c>
      <c r="R303">
        <f>IF($C303="North",1,0)</f>
        <v>0</v>
      </c>
      <c r="S303">
        <f>IF($C303="South",1,0)</f>
        <v>0</v>
      </c>
      <c r="T303">
        <f>IF($C303="East",1,0)</f>
        <v>0</v>
      </c>
      <c r="U303">
        <f>66915.46892+(1.209928492*E303)+(27.33619482*F303)+(-41243.14883*G303)+(3508.399163*H303)+(3062.210286*I303)+(-3438.10791*J303)+(15157.28728*K303)+(12509.46131*L303)+(20219.25907*O303)+(32832.85351*P303)+(44695.0949*Q303)+(-15342.70531*R303)+(-4201.853217*S303)+(-25291.41891*T303)</f>
        <v>618646.04034833063</v>
      </c>
      <c r="V303">
        <f>M303-U303</f>
        <v>58994.609651669394</v>
      </c>
      <c r="W303">
        <f>V303^2</f>
        <v>3480363967.9528437</v>
      </c>
    </row>
    <row r="304" spans="1:23">
      <c r="A304" t="s">
        <v>40</v>
      </c>
      <c r="B304" s="2">
        <v>45717</v>
      </c>
      <c r="C304" t="s">
        <v>15</v>
      </c>
      <c r="D304" t="s">
        <v>16</v>
      </c>
      <c r="E304">
        <v>70144.78</v>
      </c>
      <c r="F304">
        <v>6806</v>
      </c>
      <c r="G304">
        <v>0.17799999999999999</v>
      </c>
      <c r="H304">
        <v>20</v>
      </c>
      <c r="I304">
        <v>93.1</v>
      </c>
      <c r="J304">
        <v>0.28000000000000003</v>
      </c>
      <c r="K304">
        <v>1</v>
      </c>
      <c r="L304">
        <v>4.3</v>
      </c>
      <c r="M304">
        <v>788087.68</v>
      </c>
      <c r="N304">
        <v>116803.42</v>
      </c>
      <c r="O304">
        <f>IF($D304="High Street",1,0)</f>
        <v>0</v>
      </c>
      <c r="P304">
        <f>IF($D304="Mall",1,0)</f>
        <v>0</v>
      </c>
      <c r="Q304">
        <f>IF($D304="Airport",1,0)</f>
        <v>0</v>
      </c>
      <c r="R304">
        <f>IF($C304="North",1,0)</f>
        <v>0</v>
      </c>
      <c r="S304">
        <f>IF($C304="South",1,0)</f>
        <v>0</v>
      </c>
      <c r="T304">
        <f>IF($C304="East",1,0)</f>
        <v>1</v>
      </c>
      <c r="U304">
        <f>66915.46892+(1.209928492*E304)+(27.33619482*F304)+(-41243.14883*G304)+(3508.399163*H304)+(3062.210286*I304)+(-3438.10791*J304)+(15157.28728*K304)+(12509.46131*L304)+(20219.25907*O304)+(32832.85351*P304)+(44695.0949*Q304)+(-15342.70531*R304)+(-4201.853217*S304)+(-25291.41891*T304)</f>
        <v>728448.14093505172</v>
      </c>
      <c r="V304">
        <f>M304-U304</f>
        <v>59639.539064948331</v>
      </c>
      <c r="W304">
        <f>V304^2</f>
        <v>3556874619.879498</v>
      </c>
    </row>
    <row r="305" spans="1:23">
      <c r="A305" t="s">
        <v>61</v>
      </c>
      <c r="B305" s="2">
        <v>45748</v>
      </c>
      <c r="C305" t="s">
        <v>20</v>
      </c>
      <c r="D305" t="s">
        <v>28</v>
      </c>
      <c r="E305">
        <v>23254.57</v>
      </c>
      <c r="F305">
        <v>3847</v>
      </c>
      <c r="G305">
        <v>0.159</v>
      </c>
      <c r="H305">
        <v>12</v>
      </c>
      <c r="I305">
        <v>93</v>
      </c>
      <c r="J305">
        <v>5.46</v>
      </c>
      <c r="K305">
        <v>0</v>
      </c>
      <c r="L305">
        <v>3.3</v>
      </c>
      <c r="M305">
        <v>620973.03</v>
      </c>
      <c r="N305">
        <v>72303.850000000006</v>
      </c>
      <c r="O305">
        <f>IF($D305="High Street",1,0)</f>
        <v>0</v>
      </c>
      <c r="P305">
        <f>IF($D305="Mall",1,0)</f>
        <v>1</v>
      </c>
      <c r="Q305">
        <f>IF($D305="Airport",1,0)</f>
        <v>0</v>
      </c>
      <c r="R305">
        <f>IF($C305="North",1,0)</f>
        <v>1</v>
      </c>
      <c r="S305">
        <f>IF($C305="South",1,0)</f>
        <v>0</v>
      </c>
      <c r="T305">
        <f>IF($C305="East",1,0)</f>
        <v>0</v>
      </c>
      <c r="U305">
        <f>66915.46892+(1.209928492*E305)+(27.33619482*F305)+(-41243.14883*G305)+(3508.399163*H305)+(3062.210286*I305)+(-3438.10791*J305)+(15157.28728*K305)+(12509.46131*L305)+(20219.25907*O305)+(32832.85351*P305)+(44695.0949*Q305)+(-15342.70531*R305)+(-4201.853217*S305)+(-25291.41891*T305)</f>
        <v>560542.16442917846</v>
      </c>
      <c r="V305">
        <f>M305-U305</f>
        <v>60430.865570821567</v>
      </c>
      <c r="W305">
        <f>V305^2</f>
        <v>3651889513.6387072</v>
      </c>
    </row>
    <row r="306" spans="1:23">
      <c r="A306" t="s">
        <v>62</v>
      </c>
      <c r="B306" s="2">
        <v>45689</v>
      </c>
      <c r="C306" t="s">
        <v>24</v>
      </c>
      <c r="D306" t="s">
        <v>18</v>
      </c>
      <c r="E306">
        <v>48438.85</v>
      </c>
      <c r="F306">
        <v>6992</v>
      </c>
      <c r="G306">
        <v>3.4000000000000002E-2</v>
      </c>
      <c r="H306">
        <v>20</v>
      </c>
      <c r="I306">
        <v>91</v>
      </c>
      <c r="J306">
        <v>4.3600000000000003</v>
      </c>
      <c r="K306">
        <v>0</v>
      </c>
      <c r="L306">
        <v>4.2</v>
      </c>
      <c r="M306">
        <v>778298.88</v>
      </c>
      <c r="N306">
        <v>130076.72</v>
      </c>
      <c r="O306">
        <f>IF($D306="High Street",1,0)</f>
        <v>1</v>
      </c>
      <c r="P306">
        <f>IF($D306="Mall",1,0)</f>
        <v>0</v>
      </c>
      <c r="Q306">
        <f>IF($D306="Airport",1,0)</f>
        <v>0</v>
      </c>
      <c r="R306">
        <f>IF($C306="North",1,0)</f>
        <v>0</v>
      </c>
      <c r="S306">
        <f>IF($C306="South",1,0)</f>
        <v>1</v>
      </c>
      <c r="T306">
        <f>IF($C306="East",1,0)</f>
        <v>0</v>
      </c>
      <c r="U306">
        <f>66915.46892+(1.209928492*E306)+(27.33619482*F306)+(-41243.14883*G306)+(3508.399163*H306)+(3062.210286*I306)+(-3438.10791*J306)+(15157.28728*K306)+(12509.46131*L306)+(20219.25907*O306)+(32832.85351*P306)+(44695.0949*Q306)+(-15342.70531*R306)+(-4201.853217*S306)+(-25291.41891*T306)</f>
        <v>717651.53292933409</v>
      </c>
      <c r="V306">
        <f>M306-U306</f>
        <v>60647.347070665914</v>
      </c>
      <c r="W306">
        <f>V306^2</f>
        <v>3678100706.7098093</v>
      </c>
    </row>
    <row r="307" spans="1:23">
      <c r="A307" t="s">
        <v>64</v>
      </c>
      <c r="B307" s="2">
        <v>45717</v>
      </c>
      <c r="C307" t="s">
        <v>15</v>
      </c>
      <c r="D307" t="s">
        <v>16</v>
      </c>
      <c r="E307">
        <v>50825.08</v>
      </c>
      <c r="F307">
        <v>8949</v>
      </c>
      <c r="G307">
        <v>0.157</v>
      </c>
      <c r="H307">
        <v>21</v>
      </c>
      <c r="I307">
        <v>84.7</v>
      </c>
      <c r="J307">
        <v>7.73</v>
      </c>
      <c r="K307">
        <v>0</v>
      </c>
      <c r="L307">
        <v>4.9000000000000004</v>
      </c>
      <c r="M307">
        <v>769702.76</v>
      </c>
      <c r="N307">
        <v>158697</v>
      </c>
      <c r="O307">
        <f>IF($D307="High Street",1,0)</f>
        <v>0</v>
      </c>
      <c r="P307">
        <f>IF($D307="Mall",1,0)</f>
        <v>0</v>
      </c>
      <c r="Q307">
        <f>IF($D307="Airport",1,0)</f>
        <v>0</v>
      </c>
      <c r="R307">
        <f>IF($C307="North",1,0)</f>
        <v>0</v>
      </c>
      <c r="S307">
        <f>IF($C307="South",1,0)</f>
        <v>0</v>
      </c>
      <c r="T307">
        <f>IF($C307="East",1,0)</f>
        <v>1</v>
      </c>
      <c r="U307">
        <f>66915.46892+(1.209928492*E307)+(27.33619482*F307)+(-41243.14883*G307)+(3508.399163*H307)+(3062.210286*I307)+(-3438.10791*J307)+(15157.28728*K307)+(12509.46131*L307)+(20219.25907*O307)+(32832.85351*P307)+(44695.0949*Q307)+(-15342.70531*R307)+(-4201.853217*S307)+(-25291.41891*T307)</f>
        <v>709040.57540994941</v>
      </c>
      <c r="V307">
        <f>M307-U307</f>
        <v>60662.184590050601</v>
      </c>
      <c r="W307">
        <f>V307^2</f>
        <v>3679900639.2373729</v>
      </c>
    </row>
    <row r="308" spans="1:23">
      <c r="A308" t="s">
        <v>39</v>
      </c>
      <c r="B308" s="2">
        <v>45658</v>
      </c>
      <c r="C308" t="s">
        <v>15</v>
      </c>
      <c r="D308" t="s">
        <v>18</v>
      </c>
      <c r="E308">
        <v>70937.240000000005</v>
      </c>
      <c r="F308">
        <v>3595</v>
      </c>
      <c r="G308">
        <v>0.14099999999999999</v>
      </c>
      <c r="H308">
        <v>11</v>
      </c>
      <c r="I308">
        <v>88.9</v>
      </c>
      <c r="J308">
        <v>2.83</v>
      </c>
      <c r="K308">
        <v>1</v>
      </c>
      <c r="L308">
        <v>3.3</v>
      </c>
      <c r="M308">
        <v>661927.14</v>
      </c>
      <c r="N308">
        <v>79218.570000000007</v>
      </c>
      <c r="O308">
        <f>IF($D308="High Street",1,0)</f>
        <v>1</v>
      </c>
      <c r="P308">
        <f>IF($D308="Mall",1,0)</f>
        <v>0</v>
      </c>
      <c r="Q308">
        <f>IF($D308="Airport",1,0)</f>
        <v>0</v>
      </c>
      <c r="R308">
        <f>IF($C308="North",1,0)</f>
        <v>0</v>
      </c>
      <c r="S308">
        <f>IF($C308="South",1,0)</f>
        <v>0</v>
      </c>
      <c r="T308">
        <f>IF($C308="East",1,0)</f>
        <v>1</v>
      </c>
      <c r="U308">
        <f>66915.46892+(1.209928492*E308)+(27.33619482*F308)+(-41243.14883*G308)+(3508.399163*H308)+(3062.210286*I308)+(-3438.10791*J308)+(15157.28728*K308)+(12509.46131*L308)+(20219.25907*O308)+(32832.85351*P308)+(44695.0949*Q308)+(-15342.70531*R308)+(-4201.853217*S308)+(-25291.41891*T308)</f>
        <v>597662.18272881221</v>
      </c>
      <c r="V308">
        <f>M308-U308</f>
        <v>64264.957271187799</v>
      </c>
      <c r="W308">
        <f>V308^2</f>
        <v>4129984733.0675936</v>
      </c>
    </row>
    <row r="309" spans="1:23">
      <c r="A309" t="s">
        <v>80</v>
      </c>
      <c r="B309" s="2">
        <v>45689</v>
      </c>
      <c r="C309" t="s">
        <v>27</v>
      </c>
      <c r="D309" t="s">
        <v>16</v>
      </c>
      <c r="E309">
        <v>61650.79</v>
      </c>
      <c r="F309">
        <v>5321</v>
      </c>
      <c r="G309">
        <v>0.126</v>
      </c>
      <c r="H309">
        <v>17</v>
      </c>
      <c r="I309">
        <v>89.2</v>
      </c>
      <c r="J309">
        <v>2.13</v>
      </c>
      <c r="K309">
        <v>0</v>
      </c>
      <c r="L309">
        <v>4</v>
      </c>
      <c r="M309">
        <v>723305.11</v>
      </c>
      <c r="N309">
        <v>128468.7</v>
      </c>
      <c r="O309">
        <f>IF($D309="High Street",1,0)</f>
        <v>0</v>
      </c>
      <c r="P309">
        <f>IF($D309="Mall",1,0)</f>
        <v>0</v>
      </c>
      <c r="Q309">
        <f>IF($D309="Airport",1,0)</f>
        <v>0</v>
      </c>
      <c r="R309">
        <f>IF($C309="North",1,0)</f>
        <v>0</v>
      </c>
      <c r="S309">
        <f>IF($C309="South",1,0)</f>
        <v>0</v>
      </c>
      <c r="T309">
        <f>IF($C309="East",1,0)</f>
        <v>0</v>
      </c>
      <c r="U309">
        <f>66915.46892+(1.209928492*E309)+(27.33619482*F309)+(-41243.14883*G309)+(3508.399163*H309)+(3062.210286*I309)+(-3438.10791*J309)+(15157.28728*K309)+(12509.46131*L309)+(20219.25907*O309)+(32832.85351*P309)+(44695.0949*Q309)+(-15342.70531*R309)+(-4201.853217*S309)+(-25291.41891*T309)</f>
        <v>657274.39085384866</v>
      </c>
      <c r="V309">
        <f>M309-U309</f>
        <v>66030.719146151328</v>
      </c>
      <c r="W309">
        <f>V309^2</f>
        <v>4360055870.9579153</v>
      </c>
    </row>
    <row r="310" spans="1:23">
      <c r="A310" t="s">
        <v>46</v>
      </c>
      <c r="B310" s="2">
        <v>45689</v>
      </c>
      <c r="C310" t="s">
        <v>27</v>
      </c>
      <c r="D310" t="s">
        <v>28</v>
      </c>
      <c r="E310">
        <v>78839.39</v>
      </c>
      <c r="F310">
        <v>5150</v>
      </c>
      <c r="G310">
        <v>0.17100000000000001</v>
      </c>
      <c r="H310">
        <v>13</v>
      </c>
      <c r="I310">
        <v>85.8</v>
      </c>
      <c r="J310">
        <v>7.57</v>
      </c>
      <c r="K310">
        <v>0</v>
      </c>
      <c r="L310">
        <v>4.3</v>
      </c>
      <c r="M310">
        <v>735509.4</v>
      </c>
      <c r="N310">
        <v>83895.96</v>
      </c>
      <c r="O310">
        <f>IF($D310="High Street",1,0)</f>
        <v>0</v>
      </c>
      <c r="P310">
        <f>IF($D310="Mall",1,0)</f>
        <v>1</v>
      </c>
      <c r="Q310">
        <f>IF($D310="Airport",1,0)</f>
        <v>0</v>
      </c>
      <c r="R310">
        <f>IF($C310="North",1,0)</f>
        <v>0</v>
      </c>
      <c r="S310">
        <f>IF($C310="South",1,0)</f>
        <v>0</v>
      </c>
      <c r="T310">
        <f>IF($C310="East",1,0)</f>
        <v>0</v>
      </c>
      <c r="U310">
        <f>66915.46892+(1.209928492*E310)+(27.33619482*F310)+(-41243.14883*G310)+(3508.399163*H310)+(3062.210286*I310)+(-3438.10791*J310)+(15157.28728*K310)+(12509.46131*L310)+(20219.25907*O310)+(32832.85351*P310)+(44695.0949*Q310)+(-15342.70531*R310)+(-4201.853217*S310)+(-25291.41891*T310)</f>
        <v>664978.20996806992</v>
      </c>
      <c r="V310">
        <f>M310-U310</f>
        <v>70531.190031930106</v>
      </c>
      <c r="W310">
        <f>V310^2</f>
        <v>4974648767.3202372</v>
      </c>
    </row>
    <row r="311" spans="1:23">
      <c r="A311" t="s">
        <v>48</v>
      </c>
      <c r="B311" s="2">
        <v>45717</v>
      </c>
      <c r="C311" t="s">
        <v>27</v>
      </c>
      <c r="D311" t="s">
        <v>18</v>
      </c>
      <c r="E311">
        <v>64294.23</v>
      </c>
      <c r="F311">
        <v>6992</v>
      </c>
      <c r="G311">
        <v>0.13300000000000001</v>
      </c>
      <c r="H311">
        <v>14</v>
      </c>
      <c r="I311">
        <v>94.1</v>
      </c>
      <c r="J311">
        <v>0.25</v>
      </c>
      <c r="K311">
        <v>0</v>
      </c>
      <c r="L311">
        <v>3</v>
      </c>
      <c r="M311">
        <v>795153.84</v>
      </c>
      <c r="N311">
        <v>143194.21</v>
      </c>
      <c r="O311">
        <f>IF($D311="High Street",1,0)</f>
        <v>1</v>
      </c>
      <c r="P311">
        <f>IF($D311="Mall",1,0)</f>
        <v>0</v>
      </c>
      <c r="Q311">
        <f>IF($D311="Airport",1,0)</f>
        <v>0</v>
      </c>
      <c r="R311">
        <f>IF($C311="North",1,0)</f>
        <v>0</v>
      </c>
      <c r="S311">
        <f>IF($C311="South",1,0)</f>
        <v>0</v>
      </c>
      <c r="T311">
        <f>IF($C311="East",1,0)</f>
        <v>0</v>
      </c>
      <c r="U311">
        <f>66915.46892+(1.209928492*E311)+(27.33619482*F311)+(-41243.14883*G311)+(3508.399163*H311)+(3062.210286*I311)+(-3438.10791*J311)+(15157.28728*K311)+(12509.46131*L311)+(20219.25907*O311)+(32832.85351*P311)+(44695.0949*Q311)+(-15342.70531*R311)+(-4201.853217*S311)+(-25291.41891*T311)</f>
        <v>724515.91727235122</v>
      </c>
      <c r="V311">
        <f>M311-U311</f>
        <v>70637.922727648751</v>
      </c>
      <c r="W311">
        <f>V311^2</f>
        <v>4989716127.277276</v>
      </c>
    </row>
    <row r="312" spans="1:23">
      <c r="A312" t="s">
        <v>96</v>
      </c>
      <c r="B312" s="2">
        <v>45689</v>
      </c>
      <c r="C312" t="s">
        <v>27</v>
      </c>
      <c r="D312" t="s">
        <v>18</v>
      </c>
      <c r="E312">
        <v>55477.61</v>
      </c>
      <c r="F312">
        <v>5903</v>
      </c>
      <c r="G312">
        <v>0.10199999999999999</v>
      </c>
      <c r="H312">
        <v>14</v>
      </c>
      <c r="I312">
        <v>96.2</v>
      </c>
      <c r="J312">
        <v>1.41</v>
      </c>
      <c r="K312">
        <v>0</v>
      </c>
      <c r="L312">
        <v>3.3</v>
      </c>
      <c r="M312">
        <v>763162.45</v>
      </c>
      <c r="N312">
        <v>162524.04999999999</v>
      </c>
      <c r="O312">
        <f>IF($D312="High Street",1,0)</f>
        <v>1</v>
      </c>
      <c r="P312">
        <f>IF($D312="Mall",1,0)</f>
        <v>0</v>
      </c>
      <c r="Q312">
        <f>IF($D312="Airport",1,0)</f>
        <v>0</v>
      </c>
      <c r="R312">
        <f>IF($C312="North",1,0)</f>
        <v>0</v>
      </c>
      <c r="S312">
        <f>IF($C312="South",1,0)</f>
        <v>0</v>
      </c>
      <c r="T312">
        <f>IF($C312="East",1,0)</f>
        <v>0</v>
      </c>
      <c r="U312">
        <f>66915.46892+(1.209928492*E312)+(27.33619482*F312)+(-41243.14883*G312)+(3508.399163*H312)+(3062.210286*I312)+(-3438.10791*J312)+(15157.28728*K312)+(12509.46131*L312)+(20219.25907*O312)+(32832.85351*P312)+(44695.0949*Q312)+(-15342.70531*R312)+(-4201.853217*S312)+(-25291.41891*T312)</f>
        <v>691553.13380396413</v>
      </c>
      <c r="V312">
        <f>M312-U312</f>
        <v>71609.316196035827</v>
      </c>
      <c r="W312">
        <f>V312^2</f>
        <v>5127894166.063839</v>
      </c>
    </row>
    <row r="313" spans="1:23">
      <c r="A313" t="s">
        <v>71</v>
      </c>
      <c r="B313" s="2">
        <v>45748</v>
      </c>
      <c r="C313" t="s">
        <v>20</v>
      </c>
      <c r="D313" t="s">
        <v>16</v>
      </c>
      <c r="E313">
        <v>61391.8</v>
      </c>
      <c r="F313">
        <v>5575</v>
      </c>
      <c r="G313">
        <v>0.189</v>
      </c>
      <c r="H313">
        <v>18</v>
      </c>
      <c r="I313">
        <v>90</v>
      </c>
      <c r="J313">
        <v>1.8</v>
      </c>
      <c r="K313">
        <v>0</v>
      </c>
      <c r="L313">
        <v>4.8</v>
      </c>
      <c r="M313">
        <v>735786.64</v>
      </c>
      <c r="N313">
        <v>126540.66</v>
      </c>
      <c r="O313">
        <f>IF($D313="High Street",1,0)</f>
        <v>0</v>
      </c>
      <c r="P313">
        <f>IF($D313="Mall",1,0)</f>
        <v>0</v>
      </c>
      <c r="Q313">
        <f>IF($D313="Airport",1,0)</f>
        <v>0</v>
      </c>
      <c r="R313">
        <f>IF($C313="North",1,0)</f>
        <v>1</v>
      </c>
      <c r="S313">
        <f>IF($C313="South",1,0)</f>
        <v>0</v>
      </c>
      <c r="T313">
        <f>IF($C313="East",1,0)</f>
        <v>0</v>
      </c>
      <c r="U313">
        <f>66915.46892+(1.209928492*E313)+(27.33619482*F313)+(-41243.14883*G313)+(3508.399163*H313)+(3062.210286*I313)+(-3438.10791*J313)+(15157.28728*K313)+(12509.46131*L313)+(20219.25907*O313)+(32832.85351*P313)+(44695.0949*Q313)+(-15342.70531*R313)+(-4201.853217*S313)+(-25291.41891*T313)</f>
        <v>663063.71332179557</v>
      </c>
      <c r="V313">
        <f>M313-U313</f>
        <v>72722.926678204443</v>
      </c>
      <c r="W313">
        <f>V313^2</f>
        <v>5288624064.6434994</v>
      </c>
    </row>
    <row r="314" spans="1:23">
      <c r="A314" t="s">
        <v>90</v>
      </c>
      <c r="B314" s="2">
        <v>45748</v>
      </c>
      <c r="C314" t="s">
        <v>27</v>
      </c>
      <c r="D314" t="s">
        <v>18</v>
      </c>
      <c r="E314">
        <v>38297.58</v>
      </c>
      <c r="F314">
        <v>5893</v>
      </c>
      <c r="G314">
        <v>0.247</v>
      </c>
      <c r="H314">
        <v>18</v>
      </c>
      <c r="I314">
        <v>77.599999999999994</v>
      </c>
      <c r="J314">
        <v>2.86</v>
      </c>
      <c r="K314">
        <v>0</v>
      </c>
      <c r="L314">
        <v>3</v>
      </c>
      <c r="M314">
        <v>686737.87</v>
      </c>
      <c r="N314">
        <v>83839.67</v>
      </c>
      <c r="O314">
        <f>IF($D314="High Street",1,0)</f>
        <v>1</v>
      </c>
      <c r="P314">
        <f>IF($D314="Mall",1,0)</f>
        <v>0</v>
      </c>
      <c r="Q314">
        <f>IF($D314="Airport",1,0)</f>
        <v>0</v>
      </c>
      <c r="R314">
        <f>IF($C314="North",1,0)</f>
        <v>0</v>
      </c>
      <c r="S314">
        <f>IF($C314="South",1,0)</f>
        <v>0</v>
      </c>
      <c r="T314">
        <f>IF($C314="East",1,0)</f>
        <v>0</v>
      </c>
      <c r="U314">
        <f>66915.46892+(1.209928492*E314)+(27.33619482*F314)+(-41243.14883*G314)+(3508.399163*H314)+(3062.210286*I314)+(-3438.10791*J314)+(15157.28728*K314)+(12509.46131*L314)+(20219.25907*O314)+(32832.85351*P314)+(44695.0949*Q314)+(-15342.70531*R314)+(-4201.853217*S314)+(-25291.41891*T314)</f>
        <v>612851.29795489938</v>
      </c>
      <c r="V314">
        <f>M314-U314</f>
        <v>73886.57204510062</v>
      </c>
      <c r="W314">
        <f>V314^2</f>
        <v>5459225528.5758448</v>
      </c>
    </row>
    <row r="315" spans="1:23">
      <c r="A315" t="s">
        <v>85</v>
      </c>
      <c r="B315" s="2">
        <v>45689</v>
      </c>
      <c r="C315" t="s">
        <v>24</v>
      </c>
      <c r="D315" t="s">
        <v>21</v>
      </c>
      <c r="E315">
        <v>63582.11</v>
      </c>
      <c r="F315">
        <v>6856</v>
      </c>
      <c r="G315">
        <v>7.3999999999999996E-2</v>
      </c>
      <c r="H315">
        <v>17</v>
      </c>
      <c r="I315">
        <v>89.5</v>
      </c>
      <c r="J315">
        <v>5.48</v>
      </c>
      <c r="K315">
        <v>0</v>
      </c>
      <c r="L315">
        <v>3.2</v>
      </c>
      <c r="M315">
        <v>799046.94</v>
      </c>
      <c r="N315">
        <v>144553.64000000001</v>
      </c>
      <c r="O315">
        <f>IF($D315="High Street",1,0)</f>
        <v>0</v>
      </c>
      <c r="P315">
        <f>IF($D315="Mall",1,0)</f>
        <v>0</v>
      </c>
      <c r="Q315">
        <f>IF($D315="Airport",1,0)</f>
        <v>1</v>
      </c>
      <c r="R315">
        <f>IF($C315="North",1,0)</f>
        <v>0</v>
      </c>
      <c r="S315">
        <f>IF($C315="South",1,0)</f>
        <v>1</v>
      </c>
      <c r="T315">
        <f>IF($C315="East",1,0)</f>
        <v>0</v>
      </c>
      <c r="U315">
        <f>66915.46892+(1.209928492*E315)+(27.33619482*F315)+(-41243.14883*G315)+(3508.399163*H315)+(3062.210286*I315)+(-3438.10791*J315)+(15157.28728*K315)+(12509.46131*L315)+(20219.25907*O315)+(32832.85351*P315)+(44695.0949*Q315)+(-15342.70531*R315)+(-4201.853217*S315)+(-25291.41891*T315)</f>
        <v>723603.52695917815</v>
      </c>
      <c r="V315">
        <f>M315-U315</f>
        <v>75443.41304082179</v>
      </c>
      <c r="W315">
        <f>V315^2</f>
        <v>5691708571.2480392</v>
      </c>
    </row>
    <row r="316" spans="1:23">
      <c r="A316" t="s">
        <v>51</v>
      </c>
      <c r="B316" s="2">
        <v>45689</v>
      </c>
      <c r="C316" t="s">
        <v>27</v>
      </c>
      <c r="D316" t="s">
        <v>16</v>
      </c>
      <c r="E316">
        <v>57360.01</v>
      </c>
      <c r="F316">
        <v>8434</v>
      </c>
      <c r="G316">
        <v>0.151</v>
      </c>
      <c r="H316">
        <v>19</v>
      </c>
      <c r="I316">
        <v>84.1</v>
      </c>
      <c r="J316">
        <v>1.56</v>
      </c>
      <c r="K316">
        <v>0</v>
      </c>
      <c r="L316">
        <v>4.7</v>
      </c>
      <c r="M316">
        <v>820519.04</v>
      </c>
      <c r="N316">
        <v>99035.88</v>
      </c>
      <c r="O316">
        <f>IF($D316="High Street",1,0)</f>
        <v>0</v>
      </c>
      <c r="P316">
        <f>IF($D316="Mall",1,0)</f>
        <v>0</v>
      </c>
      <c r="Q316">
        <f>IF($D316="Airport",1,0)</f>
        <v>0</v>
      </c>
      <c r="R316">
        <f>IF($C316="North",1,0)</f>
        <v>0</v>
      </c>
      <c r="S316">
        <f>IF($C316="South",1,0)</f>
        <v>0</v>
      </c>
      <c r="T316">
        <f>IF($C316="East",1,0)</f>
        <v>0</v>
      </c>
      <c r="U316">
        <f>66915.46892+(1.209928492*E316)+(27.33619482*F316)+(-41243.14883*G316)+(3508.399163*H316)+(3062.210286*I316)+(-3438.10791*J316)+(15157.28728*K316)+(12509.46131*L316)+(20219.25907*O316)+(32832.85351*P316)+(44695.0949*Q316)+(-15342.70531*R316)+(-4201.853217*S316)+(-25291.41891*T316)</f>
        <v>738265.21992595494</v>
      </c>
      <c r="V316">
        <f>M316-U316</f>
        <v>82253.820074045099</v>
      </c>
      <c r="W316">
        <f>V316^2</f>
        <v>6765690916.7733841</v>
      </c>
    </row>
    <row r="317" spans="1:23">
      <c r="A317" t="s">
        <v>47</v>
      </c>
      <c r="B317" s="2">
        <v>45748</v>
      </c>
      <c r="C317" t="s">
        <v>15</v>
      </c>
      <c r="D317" t="s">
        <v>28</v>
      </c>
      <c r="E317">
        <v>32266.639999999999</v>
      </c>
      <c r="F317">
        <v>2414</v>
      </c>
      <c r="G317">
        <v>0.08</v>
      </c>
      <c r="H317">
        <v>7</v>
      </c>
      <c r="I317">
        <v>92.1</v>
      </c>
      <c r="J317">
        <v>1.48</v>
      </c>
      <c r="K317">
        <v>0</v>
      </c>
      <c r="L317">
        <v>5</v>
      </c>
      <c r="M317">
        <v>625514.04</v>
      </c>
      <c r="N317">
        <v>120685.08</v>
      </c>
      <c r="O317">
        <f>IF($D317="High Street",1,0)</f>
        <v>0</v>
      </c>
      <c r="P317">
        <f>IF($D317="Mall",1,0)</f>
        <v>1</v>
      </c>
      <c r="Q317">
        <f>IF($D317="Airport",1,0)</f>
        <v>0</v>
      </c>
      <c r="R317">
        <f>IF($C317="North",1,0)</f>
        <v>0</v>
      </c>
      <c r="S317">
        <f>IF($C317="South",1,0)</f>
        <v>0</v>
      </c>
      <c r="T317">
        <f>IF($C317="East",1,0)</f>
        <v>1</v>
      </c>
      <c r="U317">
        <f>66915.46892+(1.209928492*E317)+(27.33619482*F317)+(-41243.14883*G317)+(3508.399163*H317)+(3062.210286*I317)+(-3438.10791*J317)+(15157.28728*K317)+(12509.46131*L317)+(20219.25907*O317)+(32832.85351*P317)+(44695.0949*Q317)+(-15342.70531*R317)+(-4201.853217*S317)+(-25291.41891*T317)</f>
        <v>540234.62131098681</v>
      </c>
      <c r="V317">
        <f>M317-U317</f>
        <v>85279.418689013226</v>
      </c>
      <c r="W317">
        <f>V317^2</f>
        <v>7272579251.936018</v>
      </c>
    </row>
    <row r="318" spans="1:23">
      <c r="A318" t="s">
        <v>72</v>
      </c>
      <c r="B318" s="2">
        <v>45689</v>
      </c>
      <c r="C318" t="s">
        <v>15</v>
      </c>
      <c r="D318" t="s">
        <v>21</v>
      </c>
      <c r="E318">
        <v>78111.97</v>
      </c>
      <c r="F318">
        <v>6389</v>
      </c>
      <c r="G318">
        <v>0.15</v>
      </c>
      <c r="H318">
        <v>13</v>
      </c>
      <c r="I318">
        <v>83.9</v>
      </c>
      <c r="J318">
        <v>3.05</v>
      </c>
      <c r="K318">
        <v>0</v>
      </c>
      <c r="L318">
        <v>4.8</v>
      </c>
      <c r="M318">
        <v>787715.51</v>
      </c>
      <c r="N318">
        <v>128969.62</v>
      </c>
      <c r="O318">
        <f>IF($D318="High Street",1,0)</f>
        <v>0</v>
      </c>
      <c r="P318">
        <f>IF($D318="Mall",1,0)</f>
        <v>0</v>
      </c>
      <c r="Q318">
        <f>IF($D318="Airport",1,0)</f>
        <v>1</v>
      </c>
      <c r="R318">
        <f>IF($C318="North",1,0)</f>
        <v>0</v>
      </c>
      <c r="S318">
        <f>IF($C318="South",1,0)</f>
        <v>0</v>
      </c>
      <c r="T318">
        <f>IF($C318="East",1,0)</f>
        <v>1</v>
      </c>
      <c r="U318">
        <f>66915.46892+(1.209928492*E318)+(27.33619482*F318)+(-41243.14883*G318)+(3508.399163*H318)+(3062.210286*I318)+(-3438.10791*J318)+(15157.28728*K318)+(12509.46131*L318)+(20219.25907*O318)+(32832.85351*P318)+(44695.0949*Q318)+(-15342.70531*R318)+(-4201.853217*S318)+(-25291.41891*T318)</f>
        <v>701381.3366366293</v>
      </c>
      <c r="V318">
        <f>M318-U318</f>
        <v>86334.173363370704</v>
      </c>
      <c r="W318">
        <f>V318^2</f>
        <v>7453589490.3365479</v>
      </c>
    </row>
    <row r="319" spans="1:23">
      <c r="A319" t="s">
        <v>94</v>
      </c>
      <c r="B319" s="2">
        <v>45717</v>
      </c>
      <c r="C319" t="s">
        <v>15</v>
      </c>
      <c r="D319" t="s">
        <v>16</v>
      </c>
      <c r="E319">
        <v>56737.3</v>
      </c>
      <c r="F319">
        <v>8300</v>
      </c>
      <c r="G319">
        <v>3.2000000000000001E-2</v>
      </c>
      <c r="H319">
        <v>21</v>
      </c>
      <c r="I319">
        <v>83.2</v>
      </c>
      <c r="J319">
        <v>3.44</v>
      </c>
      <c r="K319">
        <v>1</v>
      </c>
      <c r="L319">
        <v>4.3</v>
      </c>
      <c r="M319">
        <v>813316.71</v>
      </c>
      <c r="N319">
        <v>110077.42</v>
      </c>
      <c r="O319">
        <f>IF($D319="High Street",1,0)</f>
        <v>0</v>
      </c>
      <c r="P319">
        <f>IF($D319="Mall",1,0)</f>
        <v>0</v>
      </c>
      <c r="Q319">
        <f>IF($D319="Airport",1,0)</f>
        <v>0</v>
      </c>
      <c r="R319">
        <f>IF($C319="North",1,0)</f>
        <v>0</v>
      </c>
      <c r="S319">
        <f>IF($C319="South",1,0)</f>
        <v>0</v>
      </c>
      <c r="T319">
        <f>IF($C319="East",1,0)</f>
        <v>1</v>
      </c>
      <c r="U319">
        <f>66915.46892+(1.209928492*E319)+(27.33619482*F319)+(-41243.14883*G319)+(3508.399163*H319)+(3062.210286*I319)+(-3438.10791*J319)+(15157.28728*K319)+(12509.46131*L319)+(20219.25907*O319)+(32832.85351*P319)+(44695.0949*Q319)+(-15342.70531*R319)+(-4201.853217*S319)+(-25291.41891*T319)</f>
        <v>721415.92000339169</v>
      </c>
      <c r="V319">
        <f>M319-U319</f>
        <v>91900.789996608277</v>
      </c>
      <c r="W319">
        <f>V319^2</f>
        <v>8445755202.0006962</v>
      </c>
    </row>
    <row r="320" spans="1:23">
      <c r="A320" t="s">
        <v>49</v>
      </c>
      <c r="B320" s="2">
        <v>45748</v>
      </c>
      <c r="C320" t="s">
        <v>15</v>
      </c>
      <c r="D320" t="s">
        <v>28</v>
      </c>
      <c r="E320">
        <v>52758.01</v>
      </c>
      <c r="F320">
        <v>4063</v>
      </c>
      <c r="G320">
        <v>5.7000000000000002E-2</v>
      </c>
      <c r="H320">
        <v>12</v>
      </c>
      <c r="I320">
        <v>91.7</v>
      </c>
      <c r="J320">
        <v>0.92</v>
      </c>
      <c r="K320">
        <v>0</v>
      </c>
      <c r="L320">
        <v>3.5</v>
      </c>
      <c r="M320">
        <v>713611.16</v>
      </c>
      <c r="N320">
        <v>129717.18</v>
      </c>
      <c r="O320">
        <f>IF($D320="High Street",1,0)</f>
        <v>0</v>
      </c>
      <c r="P320">
        <f>IF($D320="Mall",1,0)</f>
        <v>1</v>
      </c>
      <c r="Q320">
        <f>IF($D320="Airport",1,0)</f>
        <v>0</v>
      </c>
      <c r="R320">
        <f>IF($C320="North",1,0)</f>
        <v>0</v>
      </c>
      <c r="S320">
        <f>IF($C320="South",1,0)</f>
        <v>0</v>
      </c>
      <c r="T320">
        <f>IF($C320="East",1,0)</f>
        <v>1</v>
      </c>
      <c r="U320">
        <f>66915.46892+(1.209928492*E320)+(27.33619482*F320)+(-41243.14883*G320)+(3508.399163*H320)+(3062.210286*I320)+(-3438.10791*J320)+(15157.28728*K320)+(12509.46131*L320)+(20219.25907*O320)+(32832.85351*P320)+(44695.0949*Q320)+(-15342.70531*R320)+(-4201.853217*S320)+(-25291.41891*T320)</f>
        <v>610531.95156057086</v>
      </c>
      <c r="V320">
        <f>M320-U320</f>
        <v>103079.20843942917</v>
      </c>
      <c r="W320">
        <f>V320^2</f>
        <v>10625323212.499287</v>
      </c>
    </row>
    <row r="321" spans="1:23">
      <c r="A321" t="s">
        <v>79</v>
      </c>
      <c r="B321" s="2">
        <v>45689</v>
      </c>
      <c r="C321" t="s">
        <v>15</v>
      </c>
      <c r="D321" t="s">
        <v>18</v>
      </c>
      <c r="E321">
        <v>113736</v>
      </c>
      <c r="F321">
        <v>8961</v>
      </c>
      <c r="G321">
        <v>0.20200000000000001</v>
      </c>
      <c r="H321">
        <v>24</v>
      </c>
      <c r="I321">
        <v>86.2</v>
      </c>
      <c r="J321">
        <v>21.63</v>
      </c>
      <c r="K321">
        <v>0</v>
      </c>
      <c r="L321">
        <v>4</v>
      </c>
      <c r="M321">
        <v>870937.4</v>
      </c>
      <c r="N321">
        <v>175282.74</v>
      </c>
      <c r="O321">
        <f>IF($D321="High Street",1,0)</f>
        <v>1</v>
      </c>
      <c r="P321">
        <f>IF($D321="Mall",1,0)</f>
        <v>0</v>
      </c>
      <c r="Q321">
        <f>IF($D321="Airport",1,0)</f>
        <v>0</v>
      </c>
      <c r="R321">
        <f>IF($C321="North",1,0)</f>
        <v>0</v>
      </c>
      <c r="S321">
        <f>IF($C321="South",1,0)</f>
        <v>0</v>
      </c>
      <c r="T321">
        <f>IF($C321="East",1,0)</f>
        <v>1</v>
      </c>
      <c r="U321">
        <f>66915.46892+(1.209928492*E321)+(27.33619482*F321)+(-41243.14883*G321)+(3508.399163*H321)+(3062.210286*I321)+(-3438.10791*J321)+(15157.28728*K321)+(12509.46131*L321)+(20219.25907*O321)+(32832.85351*P321)+(44695.0949*Q321)+(-15342.70531*R321)+(-4201.853217*S321)+(-25291.41891*T321)</f>
        <v>759919.93947637209</v>
      </c>
      <c r="V321">
        <f>M321-U321</f>
        <v>111017.46052362793</v>
      </c>
      <c r="W321">
        <f>V321^2</f>
        <v>12324876541.115286</v>
      </c>
    </row>
  </sheetData>
  <sortState xmlns:xlrd2="http://schemas.microsoft.com/office/spreadsheetml/2017/richdata2" ref="A2:W321">
    <sortCondition ref="V1:V32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7FD9-4A3E-4B74-9CA8-D32931F1FD6B}">
  <dimension ref="A1:D10"/>
  <sheetViews>
    <sheetView workbookViewId="0">
      <selection activeCell="Q11" sqref="Q11"/>
    </sheetView>
  </sheetViews>
  <sheetFormatPr defaultRowHeight="24"/>
  <cols>
    <col min="3" max="3" width="10.796875" bestFit="1" customWidth="1"/>
    <col min="4" max="4" width="13.19921875" bestFit="1" customWidth="1"/>
  </cols>
  <sheetData>
    <row r="1" spans="1:4">
      <c r="A1" t="s">
        <v>149</v>
      </c>
      <c r="B1" t="s">
        <v>150</v>
      </c>
      <c r="C1" t="s">
        <v>151</v>
      </c>
      <c r="D1" t="s">
        <v>124</v>
      </c>
    </row>
    <row r="2" spans="1:4">
      <c r="A2" t="s">
        <v>152</v>
      </c>
      <c r="B2" s="4">
        <v>0.16719999999999999</v>
      </c>
      <c r="C2" s="4">
        <v>0.1646</v>
      </c>
      <c r="D2" s="4">
        <v>94846.03</v>
      </c>
    </row>
    <row r="3" spans="1:4">
      <c r="A3" t="s">
        <v>153</v>
      </c>
      <c r="B3" s="4">
        <v>0.73629999999999995</v>
      </c>
      <c r="C3" s="4">
        <v>0.73550000000000004</v>
      </c>
      <c r="D3" s="4">
        <v>53373.74</v>
      </c>
    </row>
    <row r="4" spans="1:4">
      <c r="A4" t="s">
        <v>154</v>
      </c>
      <c r="B4" s="4">
        <v>8.3000000000000001E-3</v>
      </c>
      <c r="C4">
        <v>5.1999999999999998E-3</v>
      </c>
      <c r="D4">
        <v>103502.94</v>
      </c>
    </row>
    <row r="5" spans="1:4">
      <c r="A5" t="s">
        <v>155</v>
      </c>
      <c r="B5" s="4">
        <v>0.65229999999999999</v>
      </c>
      <c r="C5">
        <v>0.6512</v>
      </c>
      <c r="D5">
        <v>61287.06</v>
      </c>
    </row>
    <row r="6" spans="1:4">
      <c r="A6" t="s">
        <v>103</v>
      </c>
      <c r="B6" s="4">
        <v>1.3100000000000001E-2</v>
      </c>
      <c r="C6">
        <v>0.01</v>
      </c>
      <c r="D6">
        <v>103250.87</v>
      </c>
    </row>
    <row r="7" spans="1:4">
      <c r="A7" t="s">
        <v>156</v>
      </c>
      <c r="B7" s="4">
        <v>1.14E-2</v>
      </c>
      <c r="C7">
        <v>8.3000000000000001E-3</v>
      </c>
      <c r="D7">
        <v>103338.27</v>
      </c>
    </row>
    <row r="8" spans="1:4">
      <c r="A8" t="s">
        <v>157</v>
      </c>
      <c r="B8" s="4">
        <v>3.8100000000000002E-2</v>
      </c>
      <c r="C8">
        <v>3.5099999999999999E-2</v>
      </c>
      <c r="D8">
        <v>101933.98</v>
      </c>
    </row>
    <row r="9" spans="1:4">
      <c r="A9" t="s">
        <v>158</v>
      </c>
      <c r="B9" s="4">
        <v>6.9999999999999999E-4</v>
      </c>
      <c r="C9">
        <v>-2.3999999999999998E-3</v>
      </c>
      <c r="D9">
        <v>103898.37</v>
      </c>
    </row>
    <row r="10" spans="1:4">
      <c r="A10" t="s">
        <v>159</v>
      </c>
      <c r="B10" s="4">
        <v>0.85699999999999998</v>
      </c>
      <c r="C10">
        <v>0.85040000000000004</v>
      </c>
      <c r="D10">
        <v>40133.89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Cleaned_data</vt:lpstr>
      <vt:lpstr>Dummy_variables</vt:lpstr>
      <vt:lpstr>Simple_regression</vt:lpstr>
      <vt:lpstr>Multiple_regression</vt:lpstr>
      <vt:lpstr>Prediction-residuals</vt:lpstr>
      <vt:lpstr>Model_comparison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Ujjwal kohli</cp:lastModifiedBy>
  <dcterms:created xsi:type="dcterms:W3CDTF">2015-06-05T18:17:20Z</dcterms:created>
  <dcterms:modified xsi:type="dcterms:W3CDTF">2026-06-27T16:29:11Z</dcterms:modified>
</cp:coreProperties>
</file>